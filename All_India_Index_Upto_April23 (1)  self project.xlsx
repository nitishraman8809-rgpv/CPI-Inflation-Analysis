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CEE5C00-2F89-4706-A3D6-0235410D0640}" xr6:coauthVersionLast="47" xr6:coauthVersionMax="47" xr10:uidLastSave="{00000000-0000-0000-0000-000000000000}"/>
  <bookViews>
    <workbookView xWindow="-120" yWindow="-120" windowWidth="20730" windowHeight="11160" firstSheet="2" activeTab="8" xr2:uid="{BB54F3F7-B4AD-44DD-9C1A-4FC78574E0D8}"/>
  </bookViews>
  <sheets>
    <sheet name="All_India_Index_Upto_April23 (1" sheetId="1" r:id="rId1"/>
    <sheet name="complete data" sheetId="2" r:id="rId2"/>
    <sheet name="Categories table" sheetId="4" r:id="rId3"/>
    <sheet name="Analysis 1" sheetId="5" r:id="rId4"/>
    <sheet name="Analysis 2" sheetId="6" r:id="rId5"/>
    <sheet name="Analysis 3" sheetId="7" r:id="rId6"/>
    <sheet name="Analysis 4" sheetId="8" r:id="rId7"/>
    <sheet name="Analysis 5" sheetId="10" r:id="rId8"/>
    <sheet name="Dashboard" sheetId="11" r:id="rId9"/>
  </sheets>
  <calcPr calcId="181029"/>
</workbook>
</file>

<file path=xl/calcChain.xml><?xml version="1.0" encoding="utf-8"?>
<calcChain xmlns="http://schemas.openxmlformats.org/spreadsheetml/2006/main">
  <c r="D8" i="10" l="1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7" i="10"/>
  <c r="M7" i="8"/>
  <c r="M6" i="8"/>
  <c r="L7" i="8"/>
  <c r="L6" i="8"/>
  <c r="K7" i="8"/>
  <c r="K6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D73" i="7"/>
  <c r="D72" i="7"/>
  <c r="D71" i="7"/>
  <c r="D70" i="7"/>
  <c r="D69" i="7"/>
  <c r="D68" i="7"/>
  <c r="D50" i="7"/>
  <c r="D54" i="7"/>
  <c r="D58" i="7"/>
  <c r="C58" i="7"/>
  <c r="C57" i="7"/>
  <c r="D57" i="7" s="1"/>
  <c r="C56" i="7"/>
  <c r="D56" i="7" s="1"/>
  <c r="C55" i="7"/>
  <c r="D55" i="7" s="1"/>
  <c r="C54" i="7"/>
  <c r="C53" i="7"/>
  <c r="D53" i="7" s="1"/>
  <c r="C52" i="7"/>
  <c r="D52" i="7" s="1"/>
  <c r="C51" i="7"/>
  <c r="D51" i="7" s="1"/>
  <c r="C50" i="7"/>
  <c r="C49" i="7"/>
  <c r="D49" i="7" s="1"/>
  <c r="C48" i="7"/>
  <c r="D48" i="7" s="1"/>
  <c r="C47" i="7"/>
  <c r="D47" i="7" s="1"/>
  <c r="C46" i="7"/>
  <c r="E23" i="5" l="1"/>
  <c r="F23" i="5"/>
  <c r="G23" i="5"/>
  <c r="G24" i="5"/>
  <c r="G25" i="5"/>
  <c r="G26" i="5"/>
  <c r="G27" i="5"/>
  <c r="G28" i="5"/>
  <c r="G29" i="5"/>
  <c r="G30" i="5"/>
  <c r="G22" i="5"/>
  <c r="F24" i="5"/>
  <c r="F25" i="5"/>
  <c r="F26" i="5"/>
  <c r="F27" i="5"/>
  <c r="F28" i="5"/>
  <c r="F29" i="5"/>
  <c r="F30" i="5"/>
  <c r="F22" i="5"/>
  <c r="E30" i="5"/>
  <c r="E24" i="5"/>
  <c r="E25" i="5"/>
  <c r="E26" i="5"/>
  <c r="E27" i="5"/>
  <c r="E28" i="5"/>
  <c r="E29" i="5"/>
  <c r="E22" i="5"/>
  <c r="L3" i="5"/>
  <c r="L4" i="5"/>
  <c r="L2" i="5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F3" i="2"/>
  <c r="AF2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2" i="2"/>
</calcChain>
</file>

<file path=xl/sharedStrings.xml><?xml version="1.0" encoding="utf-8"?>
<sst xmlns="http://schemas.openxmlformats.org/spreadsheetml/2006/main" count="2662" uniqueCount="107">
  <si>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</si>
  <si>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</si>
  <si>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</si>
  <si>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</si>
  <si>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</si>
  <si>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</si>
  <si>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</si>
  <si>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</si>
  <si>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</si>
  <si>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</si>
  <si>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</si>
  <si>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</si>
  <si>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</si>
  <si>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</si>
  <si>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</si>
  <si>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</si>
  <si>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</si>
  <si>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</si>
  <si>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</si>
  <si>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</si>
  <si>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</si>
  <si>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</si>
  <si>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</si>
  <si>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</si>
  <si>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</si>
  <si>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</si>
  <si>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</si>
  <si>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</si>
  <si>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</si>
  <si>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</si>
  <si>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</si>
  <si>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</si>
  <si>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</si>
  <si>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</si>
  <si>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</si>
  <si>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</si>
  <si>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</si>
  <si>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</si>
  <si>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</si>
  <si>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</si>
  <si>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</si>
  <si>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</si>
  <si>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</si>
  <si>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</si>
  <si>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</si>
  <si>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Prepared meals, scks, sweets etc.</t>
  </si>
  <si>
    <t>Persol care and effects</t>
  </si>
  <si>
    <t>Food average</t>
  </si>
  <si>
    <t>Apparels</t>
  </si>
  <si>
    <t>Healthcare and well being</t>
  </si>
  <si>
    <t>Miscelleneous and general index</t>
  </si>
  <si>
    <t>Essential services</t>
  </si>
  <si>
    <t>Total</t>
  </si>
  <si>
    <t>Number contibution of Categories:-</t>
  </si>
  <si>
    <t>Broader category</t>
  </si>
  <si>
    <t>Rural+urban</t>
  </si>
  <si>
    <t xml:space="preserve">Food </t>
  </si>
  <si>
    <t>Pan,tobacco and intoxicants</t>
  </si>
  <si>
    <t>% contribution of categories:-</t>
  </si>
  <si>
    <t>Key insights:_</t>
  </si>
  <si>
    <t>1. Pan,tobacco and intoxicants contibuted the most (14%) in year 2023.</t>
  </si>
  <si>
    <t>2.the contibution ranges from 12 to 14 percentage cross broader categories.</t>
  </si>
  <si>
    <t>For Sector Rural+Urban, I have taken the data of General Index for Januray Month for each year starting from 2017</t>
  </si>
  <si>
    <t>% YOY Inflation</t>
  </si>
  <si>
    <r>
      <rPr>
        <b/>
        <sz val="20"/>
        <color theme="1"/>
        <rFont val="Calibri"/>
        <family val="2"/>
        <scheme val="minor"/>
      </rPr>
      <t>Key insights</t>
    </r>
    <r>
      <rPr>
        <sz val="11"/>
        <color theme="1"/>
        <rFont val="Calibri"/>
        <family val="2"/>
        <scheme val="minor"/>
      </rPr>
      <t>:-</t>
    </r>
  </si>
  <si>
    <r>
      <t>1.</t>
    </r>
    <r>
      <rPr>
        <b/>
        <sz val="14"/>
        <color theme="1"/>
        <rFont val="Calibri"/>
        <family val="2"/>
        <scheme val="minor"/>
      </rPr>
      <t xml:space="preserve"> Year 2020 shows the highest inflation rate YoY due to covid-19 pandemic at around 7.59% .</t>
    </r>
  </si>
  <si>
    <t>2.The main  reason was disruption in the economy and supply chains across the world.</t>
  </si>
  <si>
    <t>Year-Month</t>
  </si>
  <si>
    <t>CPI-index</t>
  </si>
  <si>
    <t>MoM % change</t>
  </si>
  <si>
    <t xml:space="preserve">Key Insights :- </t>
  </si>
  <si>
    <t>Feb22 shows the lowest food inflation (-0.59%).</t>
  </si>
  <si>
    <t>June 22 shows the highest food inflation.(1.03%)</t>
  </si>
  <si>
    <t>Absolute change means difference between the index values.</t>
  </si>
  <si>
    <t>Food Category</t>
  </si>
  <si>
    <t>Prepared meals, snacks, sweets etc.</t>
  </si>
  <si>
    <t>Absolute change</t>
  </si>
  <si>
    <r>
      <rPr>
        <b/>
        <sz val="11"/>
        <color theme="1"/>
        <rFont val="Calibri"/>
        <family val="2"/>
        <scheme val="minor"/>
      </rPr>
      <t>Spices</t>
    </r>
    <r>
      <rPr>
        <sz val="11"/>
        <color theme="1"/>
        <rFont val="Calibri"/>
        <family val="2"/>
        <scheme val="minor"/>
      </rPr>
      <t xml:space="preserve"> shows the highest cpi increase among all food categories making it largest contribution for inflation over one year time period.</t>
    </r>
  </si>
  <si>
    <t>We have taken the data of Rural+urban sector for the year may22 to may23</t>
  </si>
  <si>
    <t>Time period</t>
  </si>
  <si>
    <t>Food</t>
  </si>
  <si>
    <t>Mar19-Feb20</t>
  </si>
  <si>
    <t>Apr20-Mar21</t>
  </si>
  <si>
    <t>Key insights:-</t>
  </si>
  <si>
    <t>After covid the inflation shifted from food to essential sevices and healthcare.</t>
  </si>
  <si>
    <t>I have taken the time period from Mar19-Feb20 for pre Covid and Apr20-Mar21 for post Covid .The data is for Rural+urban only.</t>
  </si>
  <si>
    <t>Sub-Category</t>
  </si>
  <si>
    <t>Category</t>
  </si>
  <si>
    <t>Correlation</t>
  </si>
  <si>
    <t>Other</t>
  </si>
  <si>
    <t>Apparel</t>
  </si>
  <si>
    <t>Essential Services</t>
  </si>
  <si>
    <t>Healthcare and well-being</t>
  </si>
  <si>
    <t>Recreation</t>
  </si>
  <si>
    <t>Personal care and effects</t>
  </si>
  <si>
    <t>General Index</t>
  </si>
  <si>
    <t>Crude oil price</t>
  </si>
  <si>
    <t>I have taken rural+urban data only for analysis .</t>
  </si>
  <si>
    <t>Categories</t>
  </si>
  <si>
    <t>Correlation with Crude Oil</t>
  </si>
  <si>
    <t xml:space="preserve"> </t>
  </si>
  <si>
    <t>Correlation with various categories of crude oil for year 2021-23</t>
  </si>
  <si>
    <t>Data cleaning</t>
  </si>
  <si>
    <t>At the place of missing data in column (E,O,Q,R,S,T,W,Y,Z,AA,AB,AC,AD),I have taken the average of same year data and replace it.</t>
  </si>
  <si>
    <t>I have also removed some rows with complete data missing.</t>
  </si>
  <si>
    <t>In column U (housing),there are missing values for rural everywhere so I kept them empty as they are intentionally missing,so replacing it may cause trouble in analysis.</t>
  </si>
  <si>
    <r>
      <t>Inflation in some categories like</t>
    </r>
    <r>
      <rPr>
        <b/>
        <sz val="11"/>
        <color theme="1"/>
        <rFont val="Calibri"/>
        <family val="2"/>
        <scheme val="minor"/>
      </rPr>
      <t xml:space="preserve"> oils,transport,meats</t>
    </r>
    <r>
      <rPr>
        <sz val="11"/>
        <color theme="1"/>
        <rFont val="Calibri"/>
        <family val="2"/>
        <scheme val="minor"/>
      </rPr>
      <t xml:space="preserve"> are highly affected by crude oil import prices,where as </t>
    </r>
    <r>
      <rPr>
        <b/>
        <sz val="11"/>
        <color theme="1"/>
        <rFont val="Calibri"/>
        <family val="2"/>
        <scheme val="minor"/>
      </rPr>
      <t>vegetables</t>
    </r>
    <r>
      <rPr>
        <sz val="11"/>
        <color theme="1"/>
        <rFont val="Calibri"/>
        <family val="2"/>
        <scheme val="minor"/>
      </rPr>
      <t xml:space="preserve"> like are less affected.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</si>
</sst>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164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0" fontId="0" fillId="0" borderId="15" xfId="0" applyBorder="1"/>
    <xf numFmtId="0" fontId="0" fillId="0" borderId="11" xfId="0" applyBorder="1"/>
    <xf numFmtId="164" fontId="0" fillId="0" borderId="11" xfId="0" applyNumberFormat="1" applyBorder="1"/>
    <xf numFmtId="0" fontId="0" fillId="0" borderId="19" xfId="0" applyBorder="1"/>
    <xf numFmtId="164" fontId="0" fillId="0" borderId="20" xfId="0" applyNumberFormat="1" applyBorder="1"/>
    <xf numFmtId="0" fontId="0" fillId="0" borderId="21" xfId="0" applyBorder="1"/>
    <xf numFmtId="0" fontId="0" fillId="33" borderId="11" xfId="0" applyFill="1" applyBorder="1"/>
    <xf numFmtId="0" fontId="0" fillId="33" borderId="19" xfId="0" applyFill="1" applyBorder="1"/>
    <xf numFmtId="164" fontId="0" fillId="33" borderId="20" xfId="0" applyNumberFormat="1" applyFill="1" applyBorder="1"/>
    <xf numFmtId="164" fontId="0" fillId="33" borderId="11" xfId="0" applyNumberFormat="1" applyFill="1" applyBorder="1"/>
    <xf numFmtId="0" fontId="0" fillId="34" borderId="19" xfId="0" applyFill="1" applyBorder="1"/>
    <xf numFmtId="0" fontId="0" fillId="34" borderId="21" xfId="0" applyFill="1" applyBorder="1"/>
    <xf numFmtId="164" fontId="0" fillId="34" borderId="20" xfId="0" applyNumberFormat="1" applyFill="1" applyBorder="1"/>
    <xf numFmtId="0" fontId="0" fillId="34" borderId="11" xfId="0" applyFill="1" applyBorder="1"/>
    <xf numFmtId="164" fontId="0" fillId="34" borderId="11" xfId="0" applyNumberFormat="1" applyFill="1" applyBorder="1"/>
    <xf numFmtId="0" fontId="0" fillId="34" borderId="0" xfId="0" applyFill="1"/>
    <xf numFmtId="9" fontId="0" fillId="0" borderId="10" xfId="0" applyNumberFormat="1" applyBorder="1"/>
    <xf numFmtId="0" fontId="0" fillId="0" borderId="22" xfId="0" applyBorder="1"/>
    <xf numFmtId="164" fontId="0" fillId="0" borderId="23" xfId="0" applyNumberFormat="1" applyBorder="1"/>
    <xf numFmtId="0" fontId="0" fillId="0" borderId="24" xfId="0" applyBorder="1"/>
    <xf numFmtId="0" fontId="0" fillId="36" borderId="10" xfId="0" applyFill="1" applyBorder="1"/>
    <xf numFmtId="164" fontId="0" fillId="36" borderId="10" xfId="0" applyNumberFormat="1" applyFill="1" applyBorder="1"/>
    <xf numFmtId="9" fontId="0" fillId="36" borderId="10" xfId="0" applyNumberFormat="1" applyFill="1" applyBorder="1"/>
    <xf numFmtId="0" fontId="0" fillId="35" borderId="12" xfId="0" applyFill="1" applyBorder="1"/>
    <xf numFmtId="0" fontId="0" fillId="35" borderId="13" xfId="0" applyFill="1" applyBorder="1"/>
    <xf numFmtId="164" fontId="0" fillId="35" borderId="13" xfId="0" applyNumberFormat="1" applyFill="1" applyBorder="1"/>
    <xf numFmtId="164" fontId="0" fillId="35" borderId="14" xfId="0" applyNumberFormat="1" applyFill="1" applyBorder="1"/>
    <xf numFmtId="0" fontId="0" fillId="0" borderId="25" xfId="0" applyBorder="1"/>
    <xf numFmtId="9" fontId="0" fillId="0" borderId="16" xfId="0" applyNumberFormat="1" applyBorder="1"/>
    <xf numFmtId="0" fontId="0" fillId="36" borderId="15" xfId="0" applyFill="1" applyBorder="1"/>
    <xf numFmtId="9" fontId="0" fillId="36" borderId="16" xfId="0" applyNumberFormat="1" applyFill="1" applyBorder="1"/>
    <xf numFmtId="0" fontId="0" fillId="0" borderId="26" xfId="0" applyBorder="1"/>
    <xf numFmtId="0" fontId="0" fillId="0" borderId="27" xfId="0" applyBorder="1"/>
    <xf numFmtId="164" fontId="0" fillId="0" borderId="28" xfId="0" applyNumberFormat="1" applyBorder="1"/>
    <xf numFmtId="9" fontId="0" fillId="0" borderId="17" xfId="0" applyNumberFormat="1" applyBorder="1"/>
    <xf numFmtId="9" fontId="0" fillId="0" borderId="18" xfId="0" applyNumberFormat="1" applyBorder="1"/>
    <xf numFmtId="0" fontId="16" fillId="0" borderId="0" xfId="0" applyFont="1"/>
    <xf numFmtId="0" fontId="18" fillId="0" borderId="0" xfId="0" applyFont="1"/>
    <xf numFmtId="164" fontId="16" fillId="0" borderId="0" xfId="0" applyNumberFormat="1" applyFont="1"/>
    <xf numFmtId="0" fontId="19" fillId="0" borderId="0" xfId="0" applyFont="1"/>
    <xf numFmtId="10" fontId="0" fillId="0" borderId="10" xfId="0" applyNumberFormat="1" applyBorder="1"/>
    <xf numFmtId="0" fontId="0" fillId="37" borderId="10" xfId="0" applyFill="1" applyBorder="1"/>
    <xf numFmtId="10" fontId="0" fillId="0" borderId="0" xfId="0" applyNumberFormat="1"/>
    <xf numFmtId="17" fontId="0" fillId="0" borderId="10" xfId="0" applyNumberFormat="1" applyBorder="1"/>
    <xf numFmtId="10" fontId="0" fillId="35" borderId="10" xfId="0" applyNumberFormat="1" applyFill="1" applyBorder="1"/>
    <xf numFmtId="0" fontId="20" fillId="0" borderId="0" xfId="0" applyFont="1"/>
    <xf numFmtId="0" fontId="21" fillId="0" borderId="0" xfId="0" applyFont="1"/>
    <xf numFmtId="164" fontId="20" fillId="0" borderId="0" xfId="0" applyNumberFormat="1" applyFont="1"/>
    <xf numFmtId="2" fontId="0" fillId="0" borderId="10" xfId="0" applyNumberFormat="1" applyBorder="1"/>
    <xf numFmtId="0" fontId="0" fillId="38" borderId="10" xfId="0" applyFill="1" applyBorder="1"/>
    <xf numFmtId="17" fontId="0" fillId="38" borderId="10" xfId="0" applyNumberFormat="1" applyFill="1" applyBorder="1"/>
    <xf numFmtId="0" fontId="0" fillId="39" borderId="10" xfId="0" applyFill="1" applyBorder="1"/>
    <xf numFmtId="0" fontId="22" fillId="0" borderId="0" xfId="0" applyFont="1"/>
    <xf numFmtId="0" fontId="23" fillId="0" borderId="0" xfId="0" applyFont="1"/>
    <xf numFmtId="2" fontId="0" fillId="33" borderId="10" xfId="0" applyNumberFormat="1" applyFill="1" applyBorder="1"/>
    <xf numFmtId="2" fontId="0" fillId="40" borderId="10" xfId="0" applyNumberFormat="1" applyFill="1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9C0006"/>
      </font>
      <fill>
        <patternFill>
          <bgColor rgb="FFFFC7CE"/>
        </patternFill>
      </fill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2'!$F$16</c:f>
              <c:strCache>
                <c:ptCount val="1"/>
                <c:pt idx="0">
                  <c:v>% YOY 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'Analysis 2'!$E$17:$E$23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'Analysis 2'!$F$17:$F$23</c:f>
              <c:numCache>
                <c:formatCode>0.00%</c:formatCode>
                <c:ptCount val="7"/>
                <c:pt idx="0">
                  <c:v>6.4542483660130712E-2</c:v>
                </c:pt>
                <c:pt idx="1">
                  <c:v>5.0652340752110447E-2</c:v>
                </c:pt>
                <c:pt idx="2">
                  <c:v>1.9722425127830512E-2</c:v>
                </c:pt>
                <c:pt idx="3">
                  <c:v>7.5931232091690504E-2</c:v>
                </c:pt>
                <c:pt idx="4">
                  <c:v>4.7270306258322403E-2</c:v>
                </c:pt>
                <c:pt idx="5">
                  <c:v>5.3401144310235127E-2</c:v>
                </c:pt>
                <c:pt idx="6">
                  <c:v>6.5178032589016333E-2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D3-4814-AFF8-C511DB65FC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35384024"/>
        <c:axId val="635378624"/>
      </c:lineChart>
      <c:catAx>
        <c:axId val="635384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78624"/>
        <c:crosses val="autoZero"/>
        <c:auto val="1"/>
        <c:lblAlgn val="ctr"/>
        <c:lblOffset val="100"/>
        <c:noMultiLvlLbl val="0"/>
      </c:catAx>
      <c:valAx>
        <c:axId val="63537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84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9615048118985"/>
          <c:y val="9.9988334791484404E-2"/>
          <c:w val="0.85836329833770775"/>
          <c:h val="0.77736111111111106"/>
        </c:manualLayout>
      </c:layout>
      <c:lineChart>
        <c:grouping val="standard"/>
        <c:varyColors val="0"/>
        <c:ser>
          <c:idx val="0"/>
          <c:order val="0"/>
          <c:tx>
            <c:strRef>
              <c:f>'Analysis 3'!$H$45</c:f>
              <c:strCache>
                <c:ptCount val="1"/>
                <c:pt idx="0">
                  <c:v>MoM %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'Analysis 3'!$G$46:$G$58</c:f>
              <c:numCache>
                <c:formatCode>mmm\-yy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'Analysis 3'!$H$46:$H$58</c:f>
              <c:numCache>
                <c:formatCode>0.00%</c:formatCode>
                <c:ptCount val="13"/>
                <c:pt idx="1">
                  <c:v>1.0272901871454465E-2</c:v>
                </c:pt>
                <c:pt idx="2">
                  <c:v>1.9452672531943271E-3</c:v>
                </c:pt>
                <c:pt idx="3">
                  <c:v>1.2796187618584476E-3</c:v>
                </c:pt>
                <c:pt idx="4">
                  <c:v>5.1560021152829982E-3</c:v>
                </c:pt>
                <c:pt idx="5">
                  <c:v>7.1901442413082606E-3</c:v>
                </c:pt>
                <c:pt idx="6">
                  <c:v>-2.1764680276847859E-4</c:v>
                </c:pt>
                <c:pt idx="7">
                  <c:v>-5.8342041100661879E-3</c:v>
                </c:pt>
                <c:pt idx="8">
                  <c:v>4.0728737847068874E-3</c:v>
                </c:pt>
                <c:pt idx="9">
                  <c:v>-5.9318707201116982E-3</c:v>
                </c:pt>
                <c:pt idx="10">
                  <c:v>4.3876968979006392E-5</c:v>
                </c:pt>
                <c:pt idx="11">
                  <c:v>4.5630045630047356E-3</c:v>
                </c:pt>
                <c:pt idx="12">
                  <c:v>7.5559049615652185E-3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9-4762-A98A-1FE4BB48D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850400"/>
        <c:axId val="580853640"/>
      </c:lineChart>
      <c:dateAx>
        <c:axId val="5808504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53640"/>
        <c:crosses val="autoZero"/>
        <c:auto val="1"/>
        <c:lblOffset val="100"/>
        <c:baseTimeUnit val="months"/>
      </c:dateAx>
      <c:valAx>
        <c:axId val="58085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5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'Analysis 3'!$D$67</c:f>
              <c:strCache>
                <c:ptCount val="1"/>
                <c:pt idx="0">
                  <c:v>Absolute change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'Analysis 3'!$B$68:$B$81</c:f>
              <c:strCache>
                <c:ptCount val="13"/>
                <c:pt idx="0">
                  <c:v>Oils and fats</c:v>
                </c:pt>
                <c:pt idx="1">
                  <c:v>Vegetables</c:v>
                </c:pt>
                <c:pt idx="2">
                  <c:v>Meat and fish</c:v>
                </c:pt>
                <c:pt idx="3">
                  <c:v>Fruits</c:v>
                </c:pt>
                <c:pt idx="4">
                  <c:v>Sugar and Confectionery</c:v>
                </c:pt>
                <c:pt idx="5">
                  <c:v>Food and beverages</c:v>
                </c:pt>
                <c:pt idx="6">
                  <c:v>Non-alcoholic beverages</c:v>
                </c:pt>
                <c:pt idx="7">
                  <c:v>Egg</c:v>
                </c:pt>
                <c:pt idx="8">
                  <c:v>Pulses and products</c:v>
                </c:pt>
                <c:pt idx="9">
                  <c:v>Prepared meals, snacks, sweets etc.</c:v>
                </c:pt>
                <c:pt idx="10">
                  <c:v>Milk and products</c:v>
                </c:pt>
                <c:pt idx="11">
                  <c:v>Cereals and products</c:v>
                </c:pt>
                <c:pt idx="12">
                  <c:v>Spices</c:v>
                </c:pt>
              </c:strCache>
            </c:strRef>
          </c:cat>
          <c:val>
            <c:numRef>
              <c:f>'Analysis 3'!$D$68:$D$81</c:f>
              <c:numCache>
                <c:formatCode>General</c:formatCode>
                <c:ptCount val="14"/>
                <c:pt idx="0">
                  <c:v>-32.400000000000006</c:v>
                </c:pt>
                <c:pt idx="1">
                  <c:v>-13.900000000000006</c:v>
                </c:pt>
                <c:pt idx="2">
                  <c:v>-2.6999999999999886</c:v>
                </c:pt>
                <c:pt idx="3">
                  <c:v>1.1999999999999886</c:v>
                </c:pt>
                <c:pt idx="4">
                  <c:v>3</c:v>
                </c:pt>
                <c:pt idx="5">
                  <c:v>5.7999999999999829</c:v>
                </c:pt>
                <c:pt idx="6">
                  <c:v>6.3</c:v>
                </c:pt>
                <c:pt idx="7">
                  <c:v>10.8</c:v>
                </c:pt>
                <c:pt idx="8">
                  <c:v>10.9</c:v>
                </c:pt>
                <c:pt idx="9">
                  <c:v>11.7</c:v>
                </c:pt>
                <c:pt idx="10">
                  <c:v>14.6</c:v>
                </c:pt>
                <c:pt idx="11">
                  <c:v>19.600000000000001</c:v>
                </c:pt>
                <c:pt idx="12">
                  <c:v>33.1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A-441F-B76D-E22D94FCF5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80841040"/>
        <c:axId val="580845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'Analysis 3'!$C$67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'Analysis 3'!$B$68:$B$81</c15:sqref>
                        </c15:formulaRef>
                      </c:ext>
                    </c:extLst>
                    <c:strCache>
                      <c:ptCount val="13"/>
                      <c:pt idx="0">
                        <c:v>Oils and fats</c:v>
                      </c:pt>
                      <c:pt idx="1">
                        <c:v>Vegetables</c:v>
                      </c:pt>
                      <c:pt idx="2">
                        <c:v>Meat and fish</c:v>
                      </c:pt>
                      <c:pt idx="3">
                        <c:v>Fruits</c:v>
                      </c:pt>
                      <c:pt idx="4">
                        <c:v>Sugar and Confectionery</c:v>
                      </c:pt>
                      <c:pt idx="5">
                        <c:v>Food and beverages</c:v>
                      </c:pt>
                      <c:pt idx="6">
                        <c:v>Non-alcoholic beverages</c:v>
                      </c:pt>
                      <c:pt idx="7">
                        <c:v>Egg</c:v>
                      </c:pt>
                      <c:pt idx="8">
                        <c:v>Pulses and products</c:v>
                      </c:pt>
                      <c:pt idx="9">
                        <c:v>Prepared meals, snacks, sweets etc.</c:v>
                      </c:pt>
                      <c:pt idx="10">
                        <c:v>Milk and products</c:v>
                      </c:pt>
                      <c:pt idx="11">
                        <c:v>Cereals and products</c:v>
                      </c:pt>
                      <c:pt idx="12">
                        <c:v>Spices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'Analysis 3'!$C$68:$C$81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50A-441F-B76D-E22D94FCF5AC}"/>
                  </c:ext>
                </c:extLst>
              </c15:ser>
            </c15:filteredBarSeries>
          </c:ext>
        </c:extLst>
      </c:barChart>
      <c:catAx>
        <c:axId val="58084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45720"/>
        <c:crosses val="autoZero"/>
        <c:auto val="1"/>
        <c:lblAlgn val="ctr"/>
        <c:lblOffset val="100"/>
        <c:noMultiLvlLbl val="0"/>
      </c:catAx>
      <c:valAx>
        <c:axId val="580845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4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6">
                    <a:lumMod val="50000"/>
                  </a:schemeClr>
                </a:solidFill>
              </a:rPr>
              <a:t>Pre</a:t>
            </a:r>
            <a:r>
              <a:rPr lang="en-IN" baseline="0">
                <a:solidFill>
                  <a:schemeClr val="accent6">
                    <a:lumMod val="50000"/>
                  </a:schemeClr>
                </a:solidFill>
              </a:rPr>
              <a:t> and post covid Rural+urban inflation</a:t>
            </a:r>
            <a:endParaRPr lang="en-IN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4'!$K$5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4'!$J$6:$J$7</c:f>
              <c:strCache>
                <c:ptCount val="2"/>
                <c:pt idx="0">
                  <c:v>Mar19-Feb20</c:v>
                </c:pt>
                <c:pt idx="1">
                  <c:v>Apr20-Mar21</c:v>
                </c:pt>
              </c:strCache>
            </c:strRef>
          </c:cat>
          <c:val>
            <c:numRef>
              <c:f>'Analysis 4'!$K$6:$K$7</c:f>
              <c:numCache>
                <c:formatCode>0.00%</c:formatCode>
                <c:ptCount val="2"/>
                <c:pt idx="0">
                  <c:v>8.4349651143002857E-2</c:v>
                </c:pt>
                <c:pt idx="1">
                  <c:v>4.6436451331520301E-2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5-48A0-B0A9-8DF5F709E3CA}"/>
            </c:ext>
          </c:extLst>
        </c:ser>
        <c:ser>
          <c:idx val="1"/>
          <c:order val="1"/>
          <c:tx>
            <c:strRef>
              <c:f>'Analysis 4'!$L$5</c:f>
              <c:strCache>
                <c:ptCount val="1"/>
                <c:pt idx="0">
                  <c:v>Essential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4'!$J$6:$J$7</c:f>
              <c:strCache>
                <c:ptCount val="2"/>
                <c:pt idx="0">
                  <c:v>Mar19-Feb20</c:v>
                </c:pt>
                <c:pt idx="1">
                  <c:v>Apr20-Mar21</c:v>
                </c:pt>
              </c:strCache>
            </c:strRef>
          </c:cat>
          <c:val>
            <c:numRef>
              <c:f>'Analysis 4'!$L$6:$L$7</c:f>
              <c:numCache>
                <c:formatCode>0.00%</c:formatCode>
                <c:ptCount val="2"/>
                <c:pt idx="0">
                  <c:v>3.8772213247172838E-2</c:v>
                </c:pt>
                <c:pt idx="1">
                  <c:v>6.3335068540690598E-2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C5-48A0-B0A9-8DF5F709E3CA}"/>
            </c:ext>
          </c:extLst>
        </c:ser>
        <c:ser>
          <c:idx val="2"/>
          <c:order val="2"/>
          <c:tx>
            <c:strRef>
              <c:f>'Analysis 4'!$M$5</c:f>
              <c:strCache>
                <c:ptCount val="1"/>
                <c:pt idx="0">
                  <c:v>Healthcare and well being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4'!$J$6:$J$7</c:f>
              <c:strCache>
                <c:ptCount val="2"/>
                <c:pt idx="0">
                  <c:v>Mar19-Feb20</c:v>
                </c:pt>
                <c:pt idx="1">
                  <c:v>Apr20-Mar21</c:v>
                </c:pt>
              </c:strCache>
            </c:strRef>
          </c:cat>
          <c:val>
            <c:numRef>
              <c:f>'Analysis 4'!$M$6:$M$7</c:f>
              <c:numCache>
                <c:formatCode>0.00%</c:formatCode>
                <c:ptCount val="2"/>
                <c:pt idx="0">
                  <c:v>5.5436337625178744E-2</c:v>
                </c:pt>
                <c:pt idx="1">
                  <c:v>7.2035338090384204E-2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C5-48A0-B0A9-8DF5F709E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490160"/>
        <c:axId val="35348044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'Analysis 4'!$N$5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'Analysis 4'!$J$6:$J$7</c15:sqref>
                        </c15:formulaRef>
                      </c:ext>
                    </c:extLst>
                    <c:strCache>
                      <c:ptCount val="2"/>
                      <c:pt idx="0">
                        <c:v>Mar19-Feb20</c:v>
                      </c:pt>
                      <c:pt idx="1">
                        <c:v>Apr20-Mar21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'Analysis 4'!$N$6:$N$7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BC5-48A0-B0A9-8DF5F709E3C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'Analysis 4'!$O$5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'Analysis 4'!$J$6:$J$7</c15:sqref>
                        </c15:formulaRef>
                      </c:ext>
                    </c:extLst>
                    <c:strCache>
                      <c:ptCount val="2"/>
                      <c:pt idx="0">
                        <c:v>Mar19-Feb20</c:v>
                      </c:pt>
                      <c:pt idx="1">
                        <c:v>Apr20-Mar21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'Analysis 4'!$O$6:$O$7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BC5-48A0-B0A9-8DF5F709E3CA}"/>
                  </c:ext>
                </c:extLst>
              </c15:ser>
            </c15:filteredBarSeries>
          </c:ext>
        </c:extLst>
      </c:barChart>
      <c:catAx>
        <c:axId val="35349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480440"/>
        <c:crosses val="autoZero"/>
        <c:auto val="1"/>
        <c:lblAlgn val="ctr"/>
        <c:lblOffset val="100"/>
        <c:noMultiLvlLbl val="0"/>
      </c:catAx>
      <c:valAx>
        <c:axId val="35348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49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2'!$F$16</c:f>
              <c:strCache>
                <c:ptCount val="1"/>
                <c:pt idx="0">
                  <c:v>% YOY 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'Analysis 2'!$E$17:$E$23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'Analysis 2'!$F$17:$F$23</c:f>
              <c:numCache>
                <c:formatCode>0.00%</c:formatCode>
                <c:ptCount val="7"/>
                <c:pt idx="0">
                  <c:v>6.4542483660130712E-2</c:v>
                </c:pt>
                <c:pt idx="1">
                  <c:v>5.0652340752110447E-2</c:v>
                </c:pt>
                <c:pt idx="2">
                  <c:v>1.9722425127830512E-2</c:v>
                </c:pt>
                <c:pt idx="3">
                  <c:v>7.5931232091690504E-2</c:v>
                </c:pt>
                <c:pt idx="4">
                  <c:v>4.7270306258322403E-2</c:v>
                </c:pt>
                <c:pt idx="5">
                  <c:v>5.3401144310235127E-2</c:v>
                </c:pt>
                <c:pt idx="6">
                  <c:v>6.5178032589016333E-2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B-4FFC-B2C3-337FC03A7FE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35384024"/>
        <c:axId val="635378624"/>
      </c:lineChart>
      <c:catAx>
        <c:axId val="635384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78624"/>
        <c:crosses val="autoZero"/>
        <c:auto val="1"/>
        <c:lblAlgn val="ctr"/>
        <c:lblOffset val="100"/>
        <c:noMultiLvlLbl val="0"/>
      </c:catAx>
      <c:valAx>
        <c:axId val="63537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84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5265679777089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'Analysis 3'!$D$67</c:f>
              <c:strCache>
                <c:ptCount val="1"/>
                <c:pt idx="0">
                  <c:v>Absolute change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'Analysis 3'!$B$68:$B$81</c:f>
              <c:strCache>
                <c:ptCount val="13"/>
                <c:pt idx="0">
                  <c:v>Oils and fats</c:v>
                </c:pt>
                <c:pt idx="1">
                  <c:v>Vegetables</c:v>
                </c:pt>
                <c:pt idx="2">
                  <c:v>Meat and fish</c:v>
                </c:pt>
                <c:pt idx="3">
                  <c:v>Fruits</c:v>
                </c:pt>
                <c:pt idx="4">
                  <c:v>Sugar and Confectionery</c:v>
                </c:pt>
                <c:pt idx="5">
                  <c:v>Food and beverages</c:v>
                </c:pt>
                <c:pt idx="6">
                  <c:v>Non-alcoholic beverages</c:v>
                </c:pt>
                <c:pt idx="7">
                  <c:v>Egg</c:v>
                </c:pt>
                <c:pt idx="8">
                  <c:v>Pulses and products</c:v>
                </c:pt>
                <c:pt idx="9">
                  <c:v>Prepared meals, snacks, sweets etc.</c:v>
                </c:pt>
                <c:pt idx="10">
                  <c:v>Milk and products</c:v>
                </c:pt>
                <c:pt idx="11">
                  <c:v>Cereals and products</c:v>
                </c:pt>
                <c:pt idx="12">
                  <c:v>Spices</c:v>
                </c:pt>
              </c:strCache>
            </c:strRef>
          </c:cat>
          <c:val>
            <c:numRef>
              <c:f>'Analysis 3'!$D$68:$D$81</c:f>
              <c:numCache>
                <c:formatCode>General</c:formatCode>
                <c:ptCount val="14"/>
                <c:pt idx="0">
                  <c:v>-32.400000000000006</c:v>
                </c:pt>
                <c:pt idx="1">
                  <c:v>-13.900000000000006</c:v>
                </c:pt>
                <c:pt idx="2">
                  <c:v>-2.6999999999999886</c:v>
                </c:pt>
                <c:pt idx="3">
                  <c:v>1.1999999999999886</c:v>
                </c:pt>
                <c:pt idx="4">
                  <c:v>3</c:v>
                </c:pt>
                <c:pt idx="5">
                  <c:v>5.7999999999999829</c:v>
                </c:pt>
                <c:pt idx="6">
                  <c:v>6.3</c:v>
                </c:pt>
                <c:pt idx="7">
                  <c:v>10.8</c:v>
                </c:pt>
                <c:pt idx="8">
                  <c:v>10.9</c:v>
                </c:pt>
                <c:pt idx="9">
                  <c:v>11.7</c:v>
                </c:pt>
                <c:pt idx="10">
                  <c:v>14.6</c:v>
                </c:pt>
                <c:pt idx="11">
                  <c:v>19.600000000000001</c:v>
                </c:pt>
                <c:pt idx="12">
                  <c:v>33.1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0-4C3B-B6B1-BEF343C626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80841040"/>
        <c:axId val="580845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'Analysis 3'!$C$67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'Analysis 3'!$B$68:$B$81</c15:sqref>
                        </c15:formulaRef>
                      </c:ext>
                    </c:extLst>
                    <c:strCache>
                      <c:ptCount val="13"/>
                      <c:pt idx="0">
                        <c:v>Oils and fats</c:v>
                      </c:pt>
                      <c:pt idx="1">
                        <c:v>Vegetables</c:v>
                      </c:pt>
                      <c:pt idx="2">
                        <c:v>Meat and fish</c:v>
                      </c:pt>
                      <c:pt idx="3">
                        <c:v>Fruits</c:v>
                      </c:pt>
                      <c:pt idx="4">
                        <c:v>Sugar and Confectionery</c:v>
                      </c:pt>
                      <c:pt idx="5">
                        <c:v>Food and beverages</c:v>
                      </c:pt>
                      <c:pt idx="6">
                        <c:v>Non-alcoholic beverages</c:v>
                      </c:pt>
                      <c:pt idx="7">
                        <c:v>Egg</c:v>
                      </c:pt>
                      <c:pt idx="8">
                        <c:v>Pulses and products</c:v>
                      </c:pt>
                      <c:pt idx="9">
                        <c:v>Prepared meals, snacks, sweets etc.</c:v>
                      </c:pt>
                      <c:pt idx="10">
                        <c:v>Milk and products</c:v>
                      </c:pt>
                      <c:pt idx="11">
                        <c:v>Cereals and products</c:v>
                      </c:pt>
                      <c:pt idx="12">
                        <c:v>Spices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'Analysis 3'!$C$68:$C$81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510-4C3B-B6B1-BEF343C62655}"/>
                  </c:ext>
                </c:extLst>
              </c15:ser>
            </c15:filteredBarSeries>
          </c:ext>
        </c:extLst>
      </c:barChart>
      <c:catAx>
        <c:axId val="58084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45720"/>
        <c:crosses val="autoZero"/>
        <c:auto val="1"/>
        <c:lblAlgn val="ctr"/>
        <c:lblOffset val="100"/>
        <c:noMultiLvlLbl val="0"/>
      </c:catAx>
      <c:valAx>
        <c:axId val="580845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4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6">
                    <a:lumMod val="50000"/>
                  </a:schemeClr>
                </a:solidFill>
              </a:rPr>
              <a:t>Pre</a:t>
            </a:r>
            <a:r>
              <a:rPr lang="en-IN" baseline="0">
                <a:solidFill>
                  <a:schemeClr val="accent6">
                    <a:lumMod val="50000"/>
                  </a:schemeClr>
                </a:solidFill>
              </a:rPr>
              <a:t> and post covid Rural+urban inflation</a:t>
            </a:r>
            <a:endParaRPr lang="en-IN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4'!$K$5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4'!$J$6:$J$7</c:f>
              <c:strCache>
                <c:ptCount val="2"/>
                <c:pt idx="0">
                  <c:v>Mar19-Feb20</c:v>
                </c:pt>
                <c:pt idx="1">
                  <c:v>Apr20-Mar21</c:v>
                </c:pt>
              </c:strCache>
            </c:strRef>
          </c:cat>
          <c:val>
            <c:numRef>
              <c:f>'Analysis 4'!$K$6:$K$7</c:f>
              <c:numCache>
                <c:formatCode>0.00%</c:formatCode>
                <c:ptCount val="2"/>
                <c:pt idx="0">
                  <c:v>8.4349651143002857E-2</c:v>
                </c:pt>
                <c:pt idx="1">
                  <c:v>4.6436451331520301E-2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F-4D07-8FAE-5AA17E05B2BB}"/>
            </c:ext>
          </c:extLst>
        </c:ser>
        <c:ser>
          <c:idx val="1"/>
          <c:order val="1"/>
          <c:tx>
            <c:strRef>
              <c:f>'Analysis 4'!$L$5</c:f>
              <c:strCache>
                <c:ptCount val="1"/>
                <c:pt idx="0">
                  <c:v>Essential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4'!$J$6:$J$7</c:f>
              <c:strCache>
                <c:ptCount val="2"/>
                <c:pt idx="0">
                  <c:v>Mar19-Feb20</c:v>
                </c:pt>
                <c:pt idx="1">
                  <c:v>Apr20-Mar21</c:v>
                </c:pt>
              </c:strCache>
            </c:strRef>
          </c:cat>
          <c:val>
            <c:numRef>
              <c:f>'Analysis 4'!$L$6:$L$7</c:f>
              <c:numCache>
                <c:formatCode>0.00%</c:formatCode>
                <c:ptCount val="2"/>
                <c:pt idx="0">
                  <c:v>3.8772213247172838E-2</c:v>
                </c:pt>
                <c:pt idx="1">
                  <c:v>6.3335068540690598E-2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9F-4D07-8FAE-5AA17E05B2BB}"/>
            </c:ext>
          </c:extLst>
        </c:ser>
        <c:ser>
          <c:idx val="2"/>
          <c:order val="2"/>
          <c:tx>
            <c:strRef>
              <c:f>'Analysis 4'!$M$5</c:f>
              <c:strCache>
                <c:ptCount val="1"/>
                <c:pt idx="0">
                  <c:v>Healthcare and well being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4'!$J$6:$J$7</c:f>
              <c:strCache>
                <c:ptCount val="2"/>
                <c:pt idx="0">
                  <c:v>Mar19-Feb20</c:v>
                </c:pt>
                <c:pt idx="1">
                  <c:v>Apr20-Mar21</c:v>
                </c:pt>
              </c:strCache>
            </c:strRef>
          </c:cat>
          <c:val>
            <c:numRef>
              <c:f>'Analysis 4'!$M$6:$M$7</c:f>
              <c:numCache>
                <c:formatCode>0.00%</c:formatCode>
                <c:ptCount val="2"/>
                <c:pt idx="0">
                  <c:v>5.5436337625178744E-2</c:v>
                </c:pt>
                <c:pt idx="1">
                  <c:v>7.2035338090384204E-2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9F-4D07-8FAE-5AA17E05B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490160"/>
        <c:axId val="35348044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'Analysis 4'!$N$5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'Analysis 4'!$J$6:$J$7</c15:sqref>
                        </c15:formulaRef>
                      </c:ext>
                    </c:extLst>
                    <c:strCache>
                      <c:ptCount val="2"/>
                      <c:pt idx="0">
                        <c:v>Mar19-Feb20</c:v>
                      </c:pt>
                      <c:pt idx="1">
                        <c:v>Apr20-Mar21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'Analysis 4'!$N$6:$N$7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A9F-4D07-8FAE-5AA17E05B2B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'Analysis 4'!$O$5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'Analysis 4'!$J$6:$J$7</c15:sqref>
                        </c15:formulaRef>
                      </c:ext>
                    </c:extLst>
                    <c:strCache>
                      <c:ptCount val="2"/>
                      <c:pt idx="0">
                        <c:v>Mar19-Feb20</c:v>
                      </c:pt>
                      <c:pt idx="1">
                        <c:v>Apr20-Mar21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'Analysis 4'!$O$6:$O$7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9F-4D07-8FAE-5AA17E05B2BB}"/>
                  </c:ext>
                </c:extLst>
              </c15:ser>
            </c15:filteredBarSeries>
          </c:ext>
        </c:extLst>
      </c:barChart>
      <c:catAx>
        <c:axId val="35349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480440"/>
        <c:crosses val="autoZero"/>
        <c:auto val="1"/>
        <c:lblAlgn val="ctr"/>
        <c:lblOffset val="100"/>
        <c:noMultiLvlLbl val="0"/>
      </c:catAx>
      <c:valAx>
        <c:axId val="35348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49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1</xdr:row>
      <xdr:rowOff>180975</xdr:rowOff>
    </xdr:from>
    <xdr:to>
      <xdr:col>17</xdr:col>
      <xdr:colOff>352425</xdr:colOff>
      <xdr:row>19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1B9E71-887B-7C5E-A900-7B5AE9B7A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95249</xdr:colOff>
      <xdr:row>45</xdr:row>
      <xdr:rowOff>19050</xdr:rowOff>
    </xdr:from>
    <xdr:to>
      <xdr:col>12</xdr:col>
      <xdr:colOff>457200</xdr:colOff>
      <xdr:row>58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26CEDA-21A8-DDB9-7E12-2AFB7A044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609599</xdr:colOff>
      <xdr:row>64</xdr:row>
      <xdr:rowOff>142875</xdr:rowOff>
    </xdr:from>
    <xdr:to>
      <xdr:col>11</xdr:col>
      <xdr:colOff>9525</xdr:colOff>
      <xdr:row>78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701DF0-7B64-73DE-B19F-226494233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552450</xdr:colOff>
      <xdr:row>7</xdr:row>
      <xdr:rowOff>161925</xdr:rowOff>
    </xdr:from>
    <xdr:to>
      <xdr:col>14</xdr:col>
      <xdr:colOff>485775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87F21-6584-50F4-DE92-8AB80CB92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11</xdr:col>
      <xdr:colOff>161924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B4D51-B210-47B1-A9A0-6FA517880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504825</xdr:colOff>
      <xdr:row>0</xdr:row>
      <xdr:rowOff>57151</xdr:rowOff>
    </xdr:from>
    <xdr:to>
      <xdr:col>20</xdr:col>
      <xdr:colOff>95251</xdr:colOff>
      <xdr:row>12</xdr:row>
      <xdr:rowOff>38101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68BAC2-9C8E-4A6E-94F5-107A6ECF4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15</xdr:row>
      <xdr:rowOff>133350</xdr:rowOff>
    </xdr:from>
    <xdr:to>
      <xdr:col>7</xdr:col>
      <xdr:colOff>66675</xdr:colOff>
      <xdr:row>26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9CC4A2-B9BB-47D0-BF39-BB725E935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E501E5-587E-48C1-8C1F-B83BC27BE126}" name="Table6" displayName="Table6" ref="A1:AD370" totalsRowShown="0">
  <autoFilter ref="A1:AD370" xr:uid="{48E501E5-587E-48C1-8C1F-B83BC27BE126}"/>
  <tableColumns count="30">
    <tableColumn id="1" xr3:uid="{25AC2B42-16D2-43EE-937B-922278DB74FD}" name="Sector"/>
    <tableColumn id="2" xr3:uid="{4967471F-0EDD-4B19-B122-EF530050766E}" name="Year"/>
    <tableColumn id="3" xr3:uid="{DA143A71-A499-47D0-870D-32DD761D30B7}" name="Month"/>
    <tableColumn id="4" xr3:uid="{7883CAC5-852F-47ED-A1BC-6DBF592336EB}" name="Cereals and products"/>
    <tableColumn id="5" xr3:uid="{D683640C-4CEC-481B-9E8E-E0447B9B3A55}" name="Meat and fish"/>
    <tableColumn id="6" xr3:uid="{79263236-AC50-4F99-9438-87F72C5E4E58}" name="Egg"/>
    <tableColumn id="7" xr3:uid="{DE00364F-713B-4DED-BF84-72C90C6D2AA5}" name="Milk and products"/>
    <tableColumn id="8" xr3:uid="{8929255D-BE34-42C3-B79B-74FBEFB848D1}" name="Oils and fats"/>
    <tableColumn id="9" xr3:uid="{CD52B19A-6896-4ED8-A9D7-EB2015B37500}" name="Fruits"/>
    <tableColumn id="10" xr3:uid="{1520C53D-9CC4-4177-905C-1AC1C5F94D5B}" name="Vegetables"/>
    <tableColumn id="11" xr3:uid="{BFF7626F-F378-4645-9CC6-F2EDC5C891C5}" name="Pulses and products"/>
    <tableColumn id="12" xr3:uid="{A44E4BC1-51EF-497E-ABC4-8FCE1FAC5A7E}" name="Sugar and Confectionery"/>
    <tableColumn id="13" xr3:uid="{7ED40128-0A54-4C51-A9BD-B305203556D8}" name="Spices"/>
    <tableColumn id="14" xr3:uid="{B81657D7-B8CC-4878-89D9-8E74361C0DD2}" name="Non-alcoholic beverages"/>
    <tableColumn id="15" xr3:uid="{C656C146-B4E6-4417-9C15-F36DF730E614}" name="Prepared meals, scks, sweets etc."/>
    <tableColumn id="16" xr3:uid="{AFCE3465-0EBF-4ADF-AB2B-3E7C6F21D542}" name="Food and beverages"/>
    <tableColumn id="17" xr3:uid="{2AF1548D-590D-4F6F-B1D0-42AD47C473EA}" name="Pan, tobacco and intoxicants"/>
    <tableColumn id="18" xr3:uid="{A72396FF-AA7E-480B-A2A1-FDCF40B631FC}" name="Clothing"/>
    <tableColumn id="19" xr3:uid="{33614950-63AB-4517-AB4E-FE890CEC87CF}" name="Footwear"/>
    <tableColumn id="20" xr3:uid="{8622AA0D-74FD-485F-BF50-9673614F394F}" name="Clothing and footwear"/>
    <tableColumn id="21" xr3:uid="{3630560E-2E1A-4C66-BBE0-5F6014D0DA4E}" name="Housing"/>
    <tableColumn id="22" xr3:uid="{56CFFAF0-A3CF-4435-A24D-7DD74A8B6944}" name="Fuel and light"/>
    <tableColumn id="23" xr3:uid="{923610C1-D0C0-44BB-8B1A-89A2B08546FF}" name="Household goods and services"/>
    <tableColumn id="24" xr3:uid="{3E372381-0C89-424A-B14B-F340942EB05E}" name="Health"/>
    <tableColumn id="25" xr3:uid="{33070C0A-CEB2-4A62-8D37-E6DA1ACA22DE}" name="Transport and communication"/>
    <tableColumn id="26" xr3:uid="{F3FC8BE8-6027-478F-9EF2-922D7413F11F}" name="Recreation and amusement"/>
    <tableColumn id="27" xr3:uid="{DADD2189-1B02-4CC4-9BC9-7A779B2B48CC}" name="Education"/>
    <tableColumn id="28" xr3:uid="{7A11422C-1187-4564-AAFF-689A53DF9BB3}" name="Persol care and effects"/>
    <tableColumn id="29" xr3:uid="{F46326A7-F3CB-45E7-B521-3CDC759AA1FF}" name="Miscellaneous"/>
    <tableColumn id="30" xr3:uid="{3204FDBB-946F-4759-A50C-0A5E5953A99D}" name="General ind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7B11BC-CEDF-4BB8-8B9C-0C0BEF0BBDBA}" name="Table1" displayName="Table1" ref="A1:AI370" totalsRowShown="0">
  <autoFilter ref="A1:AI370" xr:uid="{587B11BC-CEDF-4BB8-8B9C-0C0BEF0BBDBA}"/>
  <tableColumns count="35">
    <tableColumn id="1" xr3:uid="{9012920B-6ECD-4BA3-A24C-A1D601108CB2}" name="Sector"/>
    <tableColumn id="2" xr3:uid="{7F0175EA-4E1D-41D1-BDBA-8FD37F2C8B7B}" name="Year"/>
    <tableColumn id="3" xr3:uid="{974947A8-7097-49E7-82B8-C2FDFD73298F}" name="Month"/>
    <tableColumn id="4" xr3:uid="{4EE2332B-3499-4527-8895-A2B76352DAC1}" name="Cereals and products"/>
    <tableColumn id="5" xr3:uid="{5E1CBE38-568F-4E8A-95A3-7916C2DB50B7}" name="Meat and fish"/>
    <tableColumn id="6" xr3:uid="{B8524DB1-EA8C-4AD7-91D4-423742631AE2}" name="Egg"/>
    <tableColumn id="7" xr3:uid="{663B8316-986B-4D31-9FDF-DC3F7293BC50}" name="Milk and products"/>
    <tableColumn id="8" xr3:uid="{54D2E110-3908-4166-943D-37E5FD931639}" name="Oils and fats"/>
    <tableColumn id="9" xr3:uid="{DC3587E5-7DFE-4D72-A420-85C8BD058066}" name="Fruits"/>
    <tableColumn id="10" xr3:uid="{366658F7-0FB4-4662-B486-3661A44598C0}" name="Vegetables"/>
    <tableColumn id="11" xr3:uid="{E3CF55B1-1D6A-419D-B5FF-81D1FE13ADAE}" name="Pulses and products"/>
    <tableColumn id="12" xr3:uid="{1DBF5673-E58D-44A5-B1F6-761957261443}" name="Sugar and Confectionery"/>
    <tableColumn id="13" xr3:uid="{B0049242-4005-43F5-BD8F-D4E36129F722}" name="Spices"/>
    <tableColumn id="14" xr3:uid="{748A8411-1F25-4E2D-AB5A-7074D8BD692E}" name="Non-alcoholic beverages"/>
    <tableColumn id="15" xr3:uid="{85E8B0DF-38E5-4D31-869D-8D8572CCE873}" name="Prepared meals, scks, sweets etc."/>
    <tableColumn id="16" xr3:uid="{9FA772B5-9DA5-4E42-A06C-D6C66E825185}" name="Food and beverages"/>
    <tableColumn id="31" xr3:uid="{975F9FEE-3160-462E-8A73-0A69F9C2264E}" name="Food average" dataDxfId="20">
      <calculatedColumnFormula>AVERAGE(Table1[[#This Row],[Cereals and products]:[Food and beverages]])</calculatedColumnFormula>
    </tableColumn>
    <tableColumn id="17" xr3:uid="{B0A24E95-E5CB-4FAA-B9A4-6C085249471E}" name="Pan, tobacco and intoxicants"/>
    <tableColumn id="18" xr3:uid="{D4CD9E59-4A03-4F58-BE3F-83015385B4C1}" name="Clothing"/>
    <tableColumn id="19" xr3:uid="{D51A6858-FEC2-4AA5-9F6B-EFD72C37F96F}" name="Footwear"/>
    <tableColumn id="20" xr3:uid="{603962E7-A971-4342-A68D-62D6B3927A9C}" name="Clothing and footwear"/>
    <tableColumn id="32" xr3:uid="{F3FC94BA-BE12-4DE5-B20A-A021FC2ADB73}" name="Apparels" dataDxfId="19">
      <calculatedColumnFormula>AVERAGE(Table1[[#This Row],[Clothing]:[Clothing and footwear]])</calculatedColumnFormula>
    </tableColumn>
    <tableColumn id="21" xr3:uid="{E9C1E6BC-511D-4439-BDD0-2BFDDB14CB93}" name="Housing"/>
    <tableColumn id="22" xr3:uid="{560DA14C-D20B-47BE-B640-FA3125B02C00}" name="Fuel and light"/>
    <tableColumn id="23" xr3:uid="{E0DCBAC9-0557-4686-B32D-482295A1F391}" name="Household goods and services"/>
    <tableColumn id="24" xr3:uid="{1F1ED902-2717-49E5-BAEE-0CFB4C7D9086}" name="Health"/>
    <tableColumn id="25" xr3:uid="{89BAA565-66E6-471D-878C-B9F953EA3FFB}" name="Transport and communication"/>
    <tableColumn id="35" xr3:uid="{EDA09FB0-F6F1-41AB-A2D5-DBAE2EFBB550}" name="Essential services" dataDxfId="18">
      <calculatedColumnFormula>AVERAGE(W2,X2,Y2,AA2)</calculatedColumnFormula>
    </tableColumn>
    <tableColumn id="26" xr3:uid="{B94F0C0F-721E-4ED7-9F69-BB5777557DB6}" name="Recreation and amusement"/>
    <tableColumn id="27" xr3:uid="{6A276381-DD2B-475E-B320-E8BE9795904A}" name="Education"/>
    <tableColumn id="28" xr3:uid="{9BBE0AA4-0682-4019-B006-48BBAB0C4AC8}" name="Persol care and effects"/>
    <tableColumn id="33" xr3:uid="{B26BF205-58C3-4553-AD85-1D6B3482BA78}" name="Healthcare and well being" dataDxfId="17">
      <calculatedColumnFormula>AVERAGE(Z2,AE2)</calculatedColumnFormula>
    </tableColumn>
    <tableColumn id="29" xr3:uid="{834C714A-F17D-4E7E-B6EE-84EB11DABA4A}" name="Miscellaneous"/>
    <tableColumn id="30" xr3:uid="{CF2A9E1A-E950-4EEB-A2B4-B0DCEB9BE7CB}" name="General index"/>
    <tableColumn id="34" xr3:uid="{2DECA059-57E9-4EB9-8452-B298594A758F}" name="Miscelleneous and general index" dataDxfId="16">
      <calculatedColumnFormula>AVERAGE(AG2,AH2)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8534-FFE9-46AE-B7CC-5F4D6C84BD27}" name="Table2" displayName="Table2" ref="A1:L370" totalsRowShown="0">
  <autoFilter ref="A1:L370" xr:uid="{E0118534-FFE9-46AE-B7CC-5F4D6C84BD27}">
    <filterColumn colId="0">
      <filters>
        <filter val="Rural+Urban"/>
      </filters>
    </filterColumn>
    <filterColumn colId="1">
      <filters>
        <filter val="2019"/>
        <filter val="2020"/>
        <filter val="2021"/>
      </filters>
    </filterColumn>
  </autoFilter>
  <tableColumns count="12">
    <tableColumn id="1" xr3:uid="{565C5149-EECC-4D6D-BE1A-3D386D1842F3}" name="Sector"/>
    <tableColumn id="2" xr3:uid="{43D8388C-021E-4D3B-A559-925028A7EBB5}" name="Year"/>
    <tableColumn id="3" xr3:uid="{E018D402-914E-4104-A07D-A49055EE5161}" name="Month"/>
    <tableColumn id="4" xr3:uid="{FD631A3E-204E-4B76-9459-0DD576570ABF}" name="Food average" dataDxfId="15"/>
    <tableColumn id="5" xr3:uid="{018FDF09-EF10-4454-B6F9-2AD14125738A}" name="Pan, tobacco and intoxicants"/>
    <tableColumn id="6" xr3:uid="{894C80A0-E696-4898-92D7-9EB9C01C2DFA}" name="Apparels" dataDxfId="14"/>
    <tableColumn id="7" xr3:uid="{D32B6EA8-D046-4925-9024-44C41A2022EE}" name="Essential services" dataDxfId="13"/>
    <tableColumn id="8" xr3:uid="{67EF6431-528E-4B94-9AC0-BF7CD7F8D311}" name="Recreation and amusement"/>
    <tableColumn id="9" xr3:uid="{CD53DBA3-5C85-4EC6-B6BB-B2EF5792198A}" name="Education"/>
    <tableColumn id="10" xr3:uid="{2B5CC80F-56BD-4F46-A830-31653384FAAA}" name="Healthcare and well being"/>
    <tableColumn id="11" xr3:uid="{6DBB103A-A0F1-4024-9CAD-B6136E19A0EE}" name="Miscelleneous and general index" dataDxfId="12"/>
    <tableColumn id="12" xr3:uid="{7B897B96-84BD-4630-B3A7-C557B89F3327}" name="Total" dataDxfId="11">
      <calculatedColumnFormula>SUM(Table2[[#This Row],[Food average]:[Miscelleneous and general index]])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867C61-6D69-4EA7-8307-FF793B01527D}" name="Table3" displayName="Table3" ref="A1:L4" totalsRowShown="0">
  <autoFilter ref="A1:L4" xr:uid="{00867C61-6D69-4EA7-8307-FF793B01527D}"/>
  <tableColumns count="12">
    <tableColumn id="1" xr3:uid="{49C546C9-40E6-4586-B15A-85CD9B0D306D}" name="Sector"/>
    <tableColumn id="2" xr3:uid="{E26453D6-45CE-4295-99F0-76A79AF230B7}" name="Year"/>
    <tableColumn id="3" xr3:uid="{AEEC429A-56A9-4FCD-89CD-8BF50D000B74}" name="Month"/>
    <tableColumn id="4" xr3:uid="{F0587548-6B98-4202-9A77-00DFF8F9D69F}" name="Food average" dataDxfId="10"/>
    <tableColumn id="5" xr3:uid="{95C0EC2F-C0EF-480B-A6E5-391A84B80BD5}" name="Pan, tobacco and intoxicants"/>
    <tableColumn id="6" xr3:uid="{A5612349-3186-4D47-B8ED-F2DACB9805CA}" name="Apparels" dataDxfId="9"/>
    <tableColumn id="7" xr3:uid="{FF364203-9814-4571-9292-DC7E8C2C3470}" name="Essential services" dataDxfId="8"/>
    <tableColumn id="8" xr3:uid="{83B396BE-535A-4E43-8699-1BCCA987E60D}" name="Recreation and amusement"/>
    <tableColumn id="9" xr3:uid="{B1B467DC-9762-4A07-9A5F-7AB3859BC899}" name="Education"/>
    <tableColumn id="10" xr3:uid="{EAD47F13-DF02-4A33-B0FB-778DA097376F}" name="Healthcare and well being" dataDxfId="7"/>
    <tableColumn id="11" xr3:uid="{D2E82121-6DEE-4E12-9D5D-BE9B2AA69344}" name="Miscelleneous and general index" dataDxfId="6"/>
    <tableColumn id="12" xr3:uid="{9B462D22-BBC1-4E12-9CEA-DC7E0FE9335B}" name="Total" dataDxfId="5">
      <calculatedColumnFormula>SUM(D2:K2)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2DA9F1-5404-4132-A2EA-B710CDFF9817}" name="Table4" displayName="Table4" ref="A3:P42" totalsRowShown="0">
  <autoFilter ref="A3:P42" xr:uid="{A22DA9F1-5404-4132-A2EA-B710CDFF9817}">
    <filterColumn colId="0">
      <filters>
        <filter val="Rural+Urban"/>
      </filters>
    </filterColumn>
  </autoFilter>
  <tableColumns count="16">
    <tableColumn id="1" xr3:uid="{8537FC99-C6ED-4F96-91F8-DE624B933307}" name="Sector"/>
    <tableColumn id="2" xr3:uid="{0CEE203C-7DB0-49C0-AE35-1F1241E2DA35}" name="Year"/>
    <tableColumn id="3" xr3:uid="{A32B0740-7302-4A42-826C-A65D9CB317EE}" name="Month"/>
    <tableColumn id="4" xr3:uid="{49006676-5F1D-4A14-8561-A4565271FA31}" name="Cereals and products"/>
    <tableColumn id="5" xr3:uid="{A55F26FF-4786-4933-835D-BDCC99064DAA}" name="Meat and fish"/>
    <tableColumn id="6" xr3:uid="{8AD691B1-D9CE-431A-A08A-59C6BB4E1300}" name="Egg"/>
    <tableColumn id="7" xr3:uid="{EBB26451-AE71-4A8F-B73E-54941B10A32B}" name="Milk and products"/>
    <tableColumn id="8" xr3:uid="{794C35C7-88FF-4259-854F-D3BEC9CCA76B}" name="Oils and fats"/>
    <tableColumn id="9" xr3:uid="{C6A8644F-101B-45E3-8F8B-AD06F743BC3E}" name="Fruits"/>
    <tableColumn id="10" xr3:uid="{05560DBA-D405-49AA-92A5-DA4E5ACF45AE}" name="Vegetables"/>
    <tableColumn id="11" xr3:uid="{8378A2E9-0911-4D49-8D9E-1B5B9C9D5114}" name="Pulses and products"/>
    <tableColumn id="12" xr3:uid="{1B68BFC5-8005-49DC-B72E-006655B383EC}" name="Sugar and Confectionery"/>
    <tableColumn id="13" xr3:uid="{334CE694-D3EA-4A6F-BEBF-52A40B73581B}" name="Spices"/>
    <tableColumn id="14" xr3:uid="{7CF03307-8D91-4470-96DB-F56EA56A47DD}" name="Non-alcoholic beverages"/>
    <tableColumn id="15" xr3:uid="{35922C56-8DAA-4F9F-98BD-7E166198FCFC}" name="Prepared meals, scks, sweets etc."/>
    <tableColumn id="16" xr3:uid="{C67D5C3B-DB09-434C-AB96-197A258ABB4B}" name="Food and beverag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EBF4F9-BD2C-4045-BAA6-7CB8A88D2F63}" name="Table5" displayName="Table5" ref="A1:G24" totalsRowShown="0">
  <autoFilter ref="A1:G24" xr:uid="{DBEBF4F9-BD2C-4045-BAA6-7CB8A88D2F63}"/>
  <tableColumns count="7">
    <tableColumn id="1" xr3:uid="{3ADA442B-5109-402D-993D-548C9268E001}" name="Sector"/>
    <tableColumn id="2" xr3:uid="{337C5807-C14E-4708-AD6A-BDD8BFD3F5C1}" name="Year"/>
    <tableColumn id="3" xr3:uid="{E062B7F8-2145-4C72-89EF-775A19694E3D}" name="Month"/>
    <tableColumn id="4" xr3:uid="{5E11F467-E59D-496F-BEFA-1668636E4AC4}" name="Food average" dataDxfId="4"/>
    <tableColumn id="5" xr3:uid="{E9780BB5-9FA5-4A32-87A1-A63D7C5E94CE}" name="Essential services" dataDxfId="3"/>
    <tableColumn id="6" xr3:uid="{FB0BB4EC-B8D0-4BC7-8C66-6E52D9C1B1E9}" name="Healthcare and well being" dataDxfId="2"/>
    <tableColumn id="7" xr3:uid="{FF073300-152E-460B-88D9-1D1B2DE2243D}" name="Total" dataDxfId="1">
      <calculatedColumnFormula>SUM(Table5[[#This Row],[Food average]:[Healthcare and well being]])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28DF-5408-4DB4-9841-DE1F214C7CD8}">
  <dimension ref="A1:AH370"/>
  <sheetViews>
    <sheetView topLeftCell="Y1" workbookViewId="0">
      <selection activeCell="AI15" sqref="AI15"/>
    </sheetView>
  </sheetViews>
  <sheetFormatPr defaultRowHeight="15" x14ac:dyDescent="0.25"/>
  <cols>
    <col min="4" max="4" width="21.5703125" customWidth="1"/>
    <col min="5" max="5" width="15.28515625" customWidth="1"/>
    <col min="7" max="7" width="19" customWidth="1"/>
    <col min="8" max="8" width="14" customWidth="1"/>
    <col min="10" max="10" width="13.140625" customWidth="1"/>
    <col min="11" max="11" width="20.7109375" customWidth="1"/>
    <col min="12" max="12" width="24.7109375" customWidth="1"/>
    <col min="14" max="14" width="25" customWidth="1"/>
    <col min="15" max="15" width="32.5703125" customWidth="1"/>
    <col min="16" max="16" width="20.85546875" customWidth="1"/>
    <col min="17" max="17" width="28.140625" customWidth="1"/>
    <col min="18" max="18" width="10.5703125" customWidth="1"/>
    <col min="19" max="19" width="11.5703125" customWidth="1"/>
    <col min="20" max="20" width="22.85546875" customWidth="1"/>
    <col min="21" max="21" width="10.28515625" customWidth="1"/>
    <col min="22" max="22" width="15.140625" customWidth="1"/>
    <col min="23" max="23" width="29.7109375" customWidth="1"/>
    <col min="25" max="25" width="29.42578125" customWidth="1"/>
    <col min="26" max="26" width="27.42578125" customWidth="1"/>
    <col min="27" max="27" width="11.85546875" customWidth="1"/>
    <col min="28" max="28" width="23.140625" customWidth="1"/>
    <col min="29" max="29" width="16" customWidth="1"/>
    <col min="30" max="30" width="15.710937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45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46</v>
      </c>
      <c r="AC1" t="s">
        <v>26</v>
      </c>
      <c r="AD1" t="s">
        <v>27</v>
      </c>
    </row>
    <row r="2" spans="1:34" x14ac:dyDescent="0.25">
      <c r="A2" t="s">
        <v>28</v>
      </c>
      <c r="B2">
        <v>2013</v>
      </c>
      <c r="C2" t="s">
        <v>29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4" ht="21" x14ac:dyDescent="0.35">
      <c r="A3" t="s">
        <v>30</v>
      </c>
      <c r="B3">
        <v>2013</v>
      </c>
      <c r="C3" t="s">
        <v>29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G3" s="56" t="s">
        <v>102</v>
      </c>
    </row>
    <row r="4" spans="1:34" x14ac:dyDescent="0.25">
      <c r="A4" t="s">
        <v>31</v>
      </c>
      <c r="B4">
        <v>2013</v>
      </c>
      <c r="C4" t="s">
        <v>29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G4" s="60">
        <v>1</v>
      </c>
      <c r="AH4" t="s">
        <v>103</v>
      </c>
    </row>
    <row r="5" spans="1:34" x14ac:dyDescent="0.25">
      <c r="A5" t="s">
        <v>28</v>
      </c>
      <c r="B5">
        <v>2013</v>
      </c>
      <c r="C5" t="s">
        <v>32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G5" s="60">
        <v>2</v>
      </c>
      <c r="AH5" t="s">
        <v>104</v>
      </c>
    </row>
    <row r="6" spans="1:34" x14ac:dyDescent="0.25">
      <c r="A6" t="s">
        <v>30</v>
      </c>
      <c r="B6">
        <v>2013</v>
      </c>
      <c r="C6" t="s">
        <v>32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G6" s="60">
        <v>3</v>
      </c>
      <c r="AH6" t="s">
        <v>105</v>
      </c>
    </row>
    <row r="7" spans="1:34" x14ac:dyDescent="0.25">
      <c r="A7" t="s">
        <v>31</v>
      </c>
      <c r="B7">
        <v>2013</v>
      </c>
      <c r="C7" t="s">
        <v>32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4" x14ac:dyDescent="0.25">
      <c r="A8" t="s">
        <v>28</v>
      </c>
      <c r="B8">
        <v>2013</v>
      </c>
      <c r="C8" t="s">
        <v>33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4" x14ac:dyDescent="0.25">
      <c r="A9" t="s">
        <v>30</v>
      </c>
      <c r="B9">
        <v>2013</v>
      </c>
      <c r="C9" t="s">
        <v>33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4" x14ac:dyDescent="0.25">
      <c r="A10" t="s">
        <v>31</v>
      </c>
      <c r="B10">
        <v>2013</v>
      </c>
      <c r="C10" t="s">
        <v>33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4" x14ac:dyDescent="0.25">
      <c r="A11" t="s">
        <v>28</v>
      </c>
      <c r="B11">
        <v>2013</v>
      </c>
      <c r="C11" t="s">
        <v>34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4" x14ac:dyDescent="0.25">
      <c r="A12" t="s">
        <v>30</v>
      </c>
      <c r="B12">
        <v>2013</v>
      </c>
      <c r="C12" t="s">
        <v>34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4" x14ac:dyDescent="0.25">
      <c r="A13" t="s">
        <v>31</v>
      </c>
      <c r="B13">
        <v>2013</v>
      </c>
      <c r="C13" t="s">
        <v>34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4" x14ac:dyDescent="0.25">
      <c r="A14" t="s">
        <v>28</v>
      </c>
      <c r="B14">
        <v>2013</v>
      </c>
      <c r="C14" t="s">
        <v>35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4" x14ac:dyDescent="0.25">
      <c r="A15" t="s">
        <v>30</v>
      </c>
      <c r="B15">
        <v>2013</v>
      </c>
      <c r="C15" t="s">
        <v>35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4" x14ac:dyDescent="0.25">
      <c r="A16" t="s">
        <v>31</v>
      </c>
      <c r="B16">
        <v>2013</v>
      </c>
      <c r="C16" t="s">
        <v>35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25">
      <c r="A17" t="s">
        <v>28</v>
      </c>
      <c r="B17">
        <v>2013</v>
      </c>
      <c r="C17" t="s">
        <v>36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25">
      <c r="A18" t="s">
        <v>30</v>
      </c>
      <c r="B18">
        <v>2013</v>
      </c>
      <c r="C18" t="s">
        <v>36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31</v>
      </c>
      <c r="B19">
        <v>2013</v>
      </c>
      <c r="C19" t="s">
        <v>36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25">
      <c r="A20" t="s">
        <v>28</v>
      </c>
      <c r="B20">
        <v>2013</v>
      </c>
      <c r="C20" t="s">
        <v>37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25">
      <c r="A21" t="s">
        <v>30</v>
      </c>
      <c r="B21">
        <v>2013</v>
      </c>
      <c r="C21" t="s">
        <v>37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31</v>
      </c>
      <c r="B22">
        <v>2013</v>
      </c>
      <c r="C22" t="s">
        <v>37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25">
      <c r="A23" t="s">
        <v>28</v>
      </c>
      <c r="B23">
        <v>2013</v>
      </c>
      <c r="C23" t="s">
        <v>38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25">
      <c r="A24" t="s">
        <v>30</v>
      </c>
      <c r="B24">
        <v>2013</v>
      </c>
      <c r="C24" t="s">
        <v>38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31</v>
      </c>
      <c r="B25">
        <v>2013</v>
      </c>
      <c r="C25" t="s">
        <v>38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25">
      <c r="A26" t="s">
        <v>28</v>
      </c>
      <c r="B26">
        <v>2013</v>
      </c>
      <c r="C26" t="s">
        <v>39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25">
      <c r="A27" t="s">
        <v>30</v>
      </c>
      <c r="B27">
        <v>2013</v>
      </c>
      <c r="C27" t="s">
        <v>39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31</v>
      </c>
      <c r="B28">
        <v>2013</v>
      </c>
      <c r="C28" t="s">
        <v>39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25">
      <c r="A29" t="s">
        <v>28</v>
      </c>
      <c r="B29">
        <v>2013</v>
      </c>
      <c r="C29" t="s">
        <v>40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25">
      <c r="A30" t="s">
        <v>30</v>
      </c>
      <c r="B30">
        <v>2013</v>
      </c>
      <c r="C30" t="s">
        <v>40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31</v>
      </c>
      <c r="B31">
        <v>2013</v>
      </c>
      <c r="C31" t="s">
        <v>40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25">
      <c r="A32" t="s">
        <v>28</v>
      </c>
      <c r="B32">
        <v>2013</v>
      </c>
      <c r="C32" t="s">
        <v>41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25">
      <c r="A33" t="s">
        <v>30</v>
      </c>
      <c r="B33">
        <v>2013</v>
      </c>
      <c r="C33" t="s">
        <v>42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31</v>
      </c>
      <c r="B34">
        <v>2013</v>
      </c>
      <c r="C34" t="s">
        <v>42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25">
      <c r="A35" t="s">
        <v>28</v>
      </c>
      <c r="B35">
        <v>2013</v>
      </c>
      <c r="C35" t="s">
        <v>43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25">
      <c r="A36" t="s">
        <v>30</v>
      </c>
      <c r="B36">
        <v>2013</v>
      </c>
      <c r="C36" t="s">
        <v>43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31</v>
      </c>
      <c r="B37">
        <v>2013</v>
      </c>
      <c r="C37" t="s">
        <v>43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25">
      <c r="A38" t="s">
        <v>28</v>
      </c>
      <c r="B38">
        <v>2014</v>
      </c>
      <c r="C38" t="s">
        <v>29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25">
      <c r="A39" t="s">
        <v>30</v>
      </c>
      <c r="B39">
        <v>2014</v>
      </c>
      <c r="C39" t="s">
        <v>29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31</v>
      </c>
      <c r="B40">
        <v>2014</v>
      </c>
      <c r="C40" t="s">
        <v>29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25">
      <c r="A41" t="s">
        <v>28</v>
      </c>
      <c r="B41">
        <v>2014</v>
      </c>
      <c r="C41" t="s">
        <v>32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25">
      <c r="A42" t="s">
        <v>30</v>
      </c>
      <c r="B42">
        <v>2014</v>
      </c>
      <c r="C42" t="s">
        <v>32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31</v>
      </c>
      <c r="B43">
        <v>2014</v>
      </c>
      <c r="C43" t="s">
        <v>32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25">
      <c r="A44" t="s">
        <v>28</v>
      </c>
      <c r="B44">
        <v>2014</v>
      </c>
      <c r="C44" t="s">
        <v>33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25">
      <c r="A45" t="s">
        <v>30</v>
      </c>
      <c r="B45">
        <v>2014</v>
      </c>
      <c r="C45" t="s">
        <v>33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31</v>
      </c>
      <c r="B46">
        <v>2014</v>
      </c>
      <c r="C46" t="s">
        <v>44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25">
      <c r="A47" t="s">
        <v>28</v>
      </c>
      <c r="B47">
        <v>2014</v>
      </c>
      <c r="C47" t="s">
        <v>34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25">
      <c r="A48" t="s">
        <v>30</v>
      </c>
      <c r="B48">
        <v>2014</v>
      </c>
      <c r="C48" t="s">
        <v>34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31</v>
      </c>
      <c r="B49">
        <v>2014</v>
      </c>
      <c r="C49" t="s">
        <v>34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25">
      <c r="A50" t="s">
        <v>28</v>
      </c>
      <c r="B50">
        <v>2014</v>
      </c>
      <c r="C50" t="s">
        <v>35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25">
      <c r="A51" t="s">
        <v>30</v>
      </c>
      <c r="B51">
        <v>2014</v>
      </c>
      <c r="C51" t="s">
        <v>35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31</v>
      </c>
      <c r="B52">
        <v>2014</v>
      </c>
      <c r="C52" t="s">
        <v>35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25">
      <c r="A53" t="s">
        <v>28</v>
      </c>
      <c r="B53">
        <v>2014</v>
      </c>
      <c r="C53" t="s">
        <v>36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25">
      <c r="A54" t="s">
        <v>30</v>
      </c>
      <c r="B54">
        <v>2014</v>
      </c>
      <c r="C54" t="s">
        <v>36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31</v>
      </c>
      <c r="B55">
        <v>2014</v>
      </c>
      <c r="C55" t="s">
        <v>36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25">
      <c r="A56" t="s">
        <v>28</v>
      </c>
      <c r="B56">
        <v>2014</v>
      </c>
      <c r="C56" t="s">
        <v>37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25">
      <c r="A57" t="s">
        <v>30</v>
      </c>
      <c r="B57">
        <v>2014</v>
      </c>
      <c r="C57" t="s">
        <v>37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31</v>
      </c>
      <c r="B58">
        <v>2014</v>
      </c>
      <c r="C58" t="s">
        <v>37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25">
      <c r="A59" t="s">
        <v>28</v>
      </c>
      <c r="B59">
        <v>2014</v>
      </c>
      <c r="C59" t="s">
        <v>38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25">
      <c r="A60" t="s">
        <v>30</v>
      </c>
      <c r="B60">
        <v>2014</v>
      </c>
      <c r="C60" t="s">
        <v>38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31</v>
      </c>
      <c r="B61">
        <v>2014</v>
      </c>
      <c r="C61" t="s">
        <v>38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25">
      <c r="A62" t="s">
        <v>28</v>
      </c>
      <c r="B62">
        <v>2014</v>
      </c>
      <c r="C62" t="s">
        <v>39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25">
      <c r="A63" t="s">
        <v>30</v>
      </c>
      <c r="B63">
        <v>2014</v>
      </c>
      <c r="C63" t="s">
        <v>39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31</v>
      </c>
      <c r="B64">
        <v>2014</v>
      </c>
      <c r="C64" t="s">
        <v>39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25">
      <c r="A65" t="s">
        <v>28</v>
      </c>
      <c r="B65">
        <v>2014</v>
      </c>
      <c r="C65" t="s">
        <v>40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25">
      <c r="A66" t="s">
        <v>30</v>
      </c>
      <c r="B66">
        <v>2014</v>
      </c>
      <c r="C66" t="s">
        <v>40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31</v>
      </c>
      <c r="B67">
        <v>2014</v>
      </c>
      <c r="C67" t="s">
        <v>40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25">
      <c r="A68" t="s">
        <v>28</v>
      </c>
      <c r="B68">
        <v>2014</v>
      </c>
      <c r="C68" t="s">
        <v>42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25">
      <c r="A69" t="s">
        <v>30</v>
      </c>
      <c r="B69">
        <v>2014</v>
      </c>
      <c r="C69" t="s">
        <v>42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31</v>
      </c>
      <c r="B70">
        <v>2014</v>
      </c>
      <c r="C70" t="s">
        <v>42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25">
      <c r="A71" t="s">
        <v>28</v>
      </c>
      <c r="B71">
        <v>2014</v>
      </c>
      <c r="C71" t="s">
        <v>43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25">
      <c r="A72" t="s">
        <v>30</v>
      </c>
      <c r="B72">
        <v>2014</v>
      </c>
      <c r="C72" t="s">
        <v>43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31</v>
      </c>
      <c r="B73">
        <v>2014</v>
      </c>
      <c r="C73" t="s">
        <v>43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25">
      <c r="A74" t="s">
        <v>28</v>
      </c>
      <c r="B74">
        <v>2015</v>
      </c>
      <c r="C74" t="s">
        <v>29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25">
      <c r="A75" t="s">
        <v>30</v>
      </c>
      <c r="B75">
        <v>2015</v>
      </c>
      <c r="C75" t="s">
        <v>29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31</v>
      </c>
      <c r="B76">
        <v>2015</v>
      </c>
      <c r="C76" t="s">
        <v>29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25">
      <c r="A77" t="s">
        <v>28</v>
      </c>
      <c r="B77">
        <v>2015</v>
      </c>
      <c r="C77" t="s">
        <v>32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25">
      <c r="A78" t="s">
        <v>30</v>
      </c>
      <c r="B78">
        <v>2015</v>
      </c>
      <c r="C78" t="s">
        <v>32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31</v>
      </c>
      <c r="B79">
        <v>2015</v>
      </c>
      <c r="C79" t="s">
        <v>32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25">
      <c r="A80" t="s">
        <v>28</v>
      </c>
      <c r="B80">
        <v>2015</v>
      </c>
      <c r="C80" t="s">
        <v>33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25">
      <c r="A81" t="s">
        <v>30</v>
      </c>
      <c r="B81">
        <v>2015</v>
      </c>
      <c r="C81" t="s">
        <v>33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31</v>
      </c>
      <c r="B82">
        <v>2015</v>
      </c>
      <c r="C82" t="s">
        <v>33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25">
      <c r="A83" t="s">
        <v>28</v>
      </c>
      <c r="B83">
        <v>2015</v>
      </c>
      <c r="C83" t="s">
        <v>34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25">
      <c r="A84" t="s">
        <v>30</v>
      </c>
      <c r="B84">
        <v>2015</v>
      </c>
      <c r="C84" t="s">
        <v>34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31</v>
      </c>
      <c r="B85">
        <v>2015</v>
      </c>
      <c r="C85" t="s">
        <v>34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25">
      <c r="A86" t="s">
        <v>28</v>
      </c>
      <c r="B86">
        <v>2015</v>
      </c>
      <c r="C86" t="s">
        <v>35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25">
      <c r="A87" t="s">
        <v>30</v>
      </c>
      <c r="B87">
        <v>2015</v>
      </c>
      <c r="C87" t="s">
        <v>35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31</v>
      </c>
      <c r="B88">
        <v>2015</v>
      </c>
      <c r="C88" t="s">
        <v>35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25">
      <c r="A89" t="s">
        <v>28</v>
      </c>
      <c r="B89">
        <v>2015</v>
      </c>
      <c r="C89" t="s">
        <v>36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25">
      <c r="A90" t="s">
        <v>30</v>
      </c>
      <c r="B90">
        <v>2015</v>
      </c>
      <c r="C90" t="s">
        <v>36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31</v>
      </c>
      <c r="B91">
        <v>2015</v>
      </c>
      <c r="C91" t="s">
        <v>36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25">
      <c r="A92" t="s">
        <v>28</v>
      </c>
      <c r="B92">
        <v>2015</v>
      </c>
      <c r="C92" t="s">
        <v>37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25">
      <c r="A93" t="s">
        <v>30</v>
      </c>
      <c r="B93">
        <v>2015</v>
      </c>
      <c r="C93" t="s">
        <v>37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31</v>
      </c>
      <c r="B94">
        <v>2015</v>
      </c>
      <c r="C94" t="s">
        <v>37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25">
      <c r="A95" t="s">
        <v>28</v>
      </c>
      <c r="B95">
        <v>2015</v>
      </c>
      <c r="C95" t="s">
        <v>38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25">
      <c r="A96" t="s">
        <v>30</v>
      </c>
      <c r="B96">
        <v>2015</v>
      </c>
      <c r="C96" t="s">
        <v>38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31</v>
      </c>
      <c r="B97">
        <v>2015</v>
      </c>
      <c r="C97" t="s">
        <v>38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25">
      <c r="A98" t="s">
        <v>28</v>
      </c>
      <c r="B98">
        <v>2015</v>
      </c>
      <c r="C98" t="s">
        <v>39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25">
      <c r="A99" t="s">
        <v>30</v>
      </c>
      <c r="B99">
        <v>2015</v>
      </c>
      <c r="C99" t="s">
        <v>39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31</v>
      </c>
      <c r="B100">
        <v>2015</v>
      </c>
      <c r="C100" t="s">
        <v>39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25">
      <c r="A101" t="s">
        <v>28</v>
      </c>
      <c r="B101">
        <v>2015</v>
      </c>
      <c r="C101" t="s">
        <v>40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25">
      <c r="A102" t="s">
        <v>30</v>
      </c>
      <c r="B102">
        <v>2015</v>
      </c>
      <c r="C102" t="s">
        <v>40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31</v>
      </c>
      <c r="B103">
        <v>2015</v>
      </c>
      <c r="C103" t="s">
        <v>40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25">
      <c r="A104" t="s">
        <v>28</v>
      </c>
      <c r="B104">
        <v>2015</v>
      </c>
      <c r="C104" t="s">
        <v>42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25">
      <c r="A105" t="s">
        <v>30</v>
      </c>
      <c r="B105">
        <v>2015</v>
      </c>
      <c r="C105" t="s">
        <v>42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31</v>
      </c>
      <c r="B106">
        <v>2015</v>
      </c>
      <c r="C106" t="s">
        <v>42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25">
      <c r="A107" t="s">
        <v>28</v>
      </c>
      <c r="B107">
        <v>2015</v>
      </c>
      <c r="C107" t="s">
        <v>43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25">
      <c r="A108" t="s">
        <v>30</v>
      </c>
      <c r="B108">
        <v>2015</v>
      </c>
      <c r="C108" t="s">
        <v>43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31</v>
      </c>
      <c r="B109">
        <v>2015</v>
      </c>
      <c r="C109" t="s">
        <v>43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25">
      <c r="A110" t="s">
        <v>28</v>
      </c>
      <c r="B110">
        <v>2016</v>
      </c>
      <c r="C110" t="s">
        <v>29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25">
      <c r="A111" t="s">
        <v>30</v>
      </c>
      <c r="B111">
        <v>2016</v>
      </c>
      <c r="C111" t="s">
        <v>29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31</v>
      </c>
      <c r="B112">
        <v>2016</v>
      </c>
      <c r="C112" t="s">
        <v>29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25">
      <c r="A113" t="s">
        <v>28</v>
      </c>
      <c r="B113">
        <v>2016</v>
      </c>
      <c r="C113" t="s">
        <v>32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25">
      <c r="A114" t="s">
        <v>30</v>
      </c>
      <c r="B114">
        <v>2016</v>
      </c>
      <c r="C114" t="s">
        <v>32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31</v>
      </c>
      <c r="B115">
        <v>2016</v>
      </c>
      <c r="C115" t="s">
        <v>32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25">
      <c r="A116" t="s">
        <v>28</v>
      </c>
      <c r="B116">
        <v>2016</v>
      </c>
      <c r="C116" t="s">
        <v>33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25">
      <c r="A117" t="s">
        <v>30</v>
      </c>
      <c r="B117">
        <v>2016</v>
      </c>
      <c r="C117" t="s">
        <v>33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31</v>
      </c>
      <c r="B118">
        <v>2016</v>
      </c>
      <c r="C118" t="s">
        <v>33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25">
      <c r="A119" t="s">
        <v>28</v>
      </c>
      <c r="B119">
        <v>2016</v>
      </c>
      <c r="C119" t="s">
        <v>34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25">
      <c r="A120" t="s">
        <v>30</v>
      </c>
      <c r="B120">
        <v>2016</v>
      </c>
      <c r="C120" t="s">
        <v>34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31</v>
      </c>
      <c r="B121">
        <v>2016</v>
      </c>
      <c r="C121" t="s">
        <v>34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25">
      <c r="A122" t="s">
        <v>28</v>
      </c>
      <c r="B122">
        <v>2016</v>
      </c>
      <c r="C122" t="s">
        <v>35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25">
      <c r="A123" t="s">
        <v>30</v>
      </c>
      <c r="B123">
        <v>2016</v>
      </c>
      <c r="C123" t="s">
        <v>35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31</v>
      </c>
      <c r="B124">
        <v>2016</v>
      </c>
      <c r="C124" t="s">
        <v>35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25">
      <c r="A125" t="s">
        <v>28</v>
      </c>
      <c r="B125">
        <v>2016</v>
      </c>
      <c r="C125" t="s">
        <v>36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25">
      <c r="A126" t="s">
        <v>30</v>
      </c>
      <c r="B126">
        <v>2016</v>
      </c>
      <c r="C126" t="s">
        <v>36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31</v>
      </c>
      <c r="B127">
        <v>2016</v>
      </c>
      <c r="C127" t="s">
        <v>36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25">
      <c r="A128" t="s">
        <v>28</v>
      </c>
      <c r="B128">
        <v>2016</v>
      </c>
      <c r="C128" t="s">
        <v>37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25">
      <c r="A129" t="s">
        <v>30</v>
      </c>
      <c r="B129">
        <v>2016</v>
      </c>
      <c r="C129" t="s">
        <v>37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31</v>
      </c>
      <c r="B130">
        <v>2016</v>
      </c>
      <c r="C130" t="s">
        <v>37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25">
      <c r="A131" t="s">
        <v>28</v>
      </c>
      <c r="B131">
        <v>2016</v>
      </c>
      <c r="C131" t="s">
        <v>38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25">
      <c r="A132" t="s">
        <v>30</v>
      </c>
      <c r="B132">
        <v>2016</v>
      </c>
      <c r="C132" t="s">
        <v>38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31</v>
      </c>
      <c r="B133">
        <v>2016</v>
      </c>
      <c r="C133" t="s">
        <v>38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25">
      <c r="A134" t="s">
        <v>28</v>
      </c>
      <c r="B134">
        <v>2016</v>
      </c>
      <c r="C134" t="s">
        <v>39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25">
      <c r="A135" t="s">
        <v>30</v>
      </c>
      <c r="B135">
        <v>2016</v>
      </c>
      <c r="C135" t="s">
        <v>39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31</v>
      </c>
      <c r="B136">
        <v>2016</v>
      </c>
      <c r="C136" t="s">
        <v>39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25">
      <c r="A137" t="s">
        <v>28</v>
      </c>
      <c r="B137">
        <v>2016</v>
      </c>
      <c r="C137" t="s">
        <v>40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25">
      <c r="A138" t="s">
        <v>30</v>
      </c>
      <c r="B138">
        <v>2016</v>
      </c>
      <c r="C138" t="s">
        <v>40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31</v>
      </c>
      <c r="B139">
        <v>2016</v>
      </c>
      <c r="C139" t="s">
        <v>40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25">
      <c r="A140" t="s">
        <v>28</v>
      </c>
      <c r="B140">
        <v>2016</v>
      </c>
      <c r="C140" t="s">
        <v>42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25">
      <c r="A141" t="s">
        <v>30</v>
      </c>
      <c r="B141">
        <v>2016</v>
      </c>
      <c r="C141" t="s">
        <v>42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31</v>
      </c>
      <c r="B142">
        <v>2016</v>
      </c>
      <c r="C142" t="s">
        <v>42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25">
      <c r="A143" t="s">
        <v>28</v>
      </c>
      <c r="B143">
        <v>2016</v>
      </c>
      <c r="C143" t="s">
        <v>43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25">
      <c r="A144" t="s">
        <v>30</v>
      </c>
      <c r="B144">
        <v>2016</v>
      </c>
      <c r="C144" t="s">
        <v>43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31</v>
      </c>
      <c r="B145">
        <v>2016</v>
      </c>
      <c r="C145" t="s">
        <v>43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25">
      <c r="A146" t="s">
        <v>28</v>
      </c>
      <c r="B146">
        <v>2017</v>
      </c>
      <c r="C146" t="s">
        <v>29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25">
      <c r="A147" t="s">
        <v>30</v>
      </c>
      <c r="B147">
        <v>2017</v>
      </c>
      <c r="C147" t="s">
        <v>29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31</v>
      </c>
      <c r="B148">
        <v>2017</v>
      </c>
      <c r="C148" t="s">
        <v>29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25">
      <c r="A149" t="s">
        <v>28</v>
      </c>
      <c r="B149">
        <v>2017</v>
      </c>
      <c r="C149" t="s">
        <v>32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25">
      <c r="A150" t="s">
        <v>30</v>
      </c>
      <c r="B150">
        <v>2017</v>
      </c>
      <c r="C150" t="s">
        <v>32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31</v>
      </c>
      <c r="B151">
        <v>2017</v>
      </c>
      <c r="C151" t="s">
        <v>32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25">
      <c r="A152" t="s">
        <v>28</v>
      </c>
      <c r="B152">
        <v>2017</v>
      </c>
      <c r="C152" t="s">
        <v>33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25">
      <c r="A153" t="s">
        <v>30</v>
      </c>
      <c r="B153">
        <v>2017</v>
      </c>
      <c r="C153" t="s">
        <v>33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31</v>
      </c>
      <c r="B154">
        <v>2017</v>
      </c>
      <c r="C154" t="s">
        <v>33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25">
      <c r="A155" t="s">
        <v>28</v>
      </c>
      <c r="B155">
        <v>2017</v>
      </c>
      <c r="C155" t="s">
        <v>34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25">
      <c r="A156" t="s">
        <v>30</v>
      </c>
      <c r="B156">
        <v>2017</v>
      </c>
      <c r="C156" t="s">
        <v>34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31</v>
      </c>
      <c r="B157">
        <v>2017</v>
      </c>
      <c r="C157" t="s">
        <v>34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25">
      <c r="A158" t="s">
        <v>28</v>
      </c>
      <c r="B158">
        <v>2017</v>
      </c>
      <c r="C158" t="s">
        <v>35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25">
      <c r="A159" t="s">
        <v>30</v>
      </c>
      <c r="B159">
        <v>2017</v>
      </c>
      <c r="C159" t="s">
        <v>35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31</v>
      </c>
      <c r="B160">
        <v>2017</v>
      </c>
      <c r="C160" t="s">
        <v>35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25">
      <c r="A161" t="s">
        <v>28</v>
      </c>
      <c r="B161">
        <v>2017</v>
      </c>
      <c r="C161" t="s">
        <v>36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25">
      <c r="A162" t="s">
        <v>30</v>
      </c>
      <c r="B162">
        <v>2017</v>
      </c>
      <c r="C162" t="s">
        <v>36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31</v>
      </c>
      <c r="B163">
        <v>2017</v>
      </c>
      <c r="C163" t="s">
        <v>36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25">
      <c r="A164" t="s">
        <v>28</v>
      </c>
      <c r="B164">
        <v>2017</v>
      </c>
      <c r="C164" t="s">
        <v>37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25">
      <c r="A165" t="s">
        <v>30</v>
      </c>
      <c r="B165">
        <v>2017</v>
      </c>
      <c r="C165" t="s">
        <v>37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31</v>
      </c>
      <c r="B166">
        <v>2017</v>
      </c>
      <c r="C166" t="s">
        <v>37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25">
      <c r="A167" t="s">
        <v>28</v>
      </c>
      <c r="B167">
        <v>2017</v>
      </c>
      <c r="C167" t="s">
        <v>38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25">
      <c r="A168" t="s">
        <v>30</v>
      </c>
      <c r="B168">
        <v>2017</v>
      </c>
      <c r="C168" t="s">
        <v>38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31</v>
      </c>
      <c r="B169">
        <v>2017</v>
      </c>
      <c r="C169" t="s">
        <v>38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25">
      <c r="A170" t="s">
        <v>28</v>
      </c>
      <c r="B170">
        <v>2017</v>
      </c>
      <c r="C170" t="s">
        <v>39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25">
      <c r="A171" t="s">
        <v>30</v>
      </c>
      <c r="B171">
        <v>2017</v>
      </c>
      <c r="C171" t="s">
        <v>39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31</v>
      </c>
      <c r="B172">
        <v>2017</v>
      </c>
      <c r="C172" t="s">
        <v>39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25">
      <c r="A173" t="s">
        <v>28</v>
      </c>
      <c r="B173">
        <v>2017</v>
      </c>
      <c r="C173" t="s">
        <v>40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25">
      <c r="A174" t="s">
        <v>30</v>
      </c>
      <c r="B174">
        <v>2017</v>
      </c>
      <c r="C174" t="s">
        <v>40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31</v>
      </c>
      <c r="B175">
        <v>2017</v>
      </c>
      <c r="C175" t="s">
        <v>40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25">
      <c r="A176" t="s">
        <v>28</v>
      </c>
      <c r="B176">
        <v>2017</v>
      </c>
      <c r="C176" t="s">
        <v>42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25">
      <c r="A177" t="s">
        <v>30</v>
      </c>
      <c r="B177">
        <v>2017</v>
      </c>
      <c r="C177" t="s">
        <v>42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31</v>
      </c>
      <c r="B178">
        <v>2017</v>
      </c>
      <c r="C178" t="s">
        <v>42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25">
      <c r="A179" t="s">
        <v>28</v>
      </c>
      <c r="B179">
        <v>2017</v>
      </c>
      <c r="C179" t="s">
        <v>43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25">
      <c r="A180" t="s">
        <v>30</v>
      </c>
      <c r="B180">
        <v>2017</v>
      </c>
      <c r="C180" t="s">
        <v>43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31</v>
      </c>
      <c r="B181">
        <v>2017</v>
      </c>
      <c r="C181" t="s">
        <v>43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25">
      <c r="A182" t="s">
        <v>28</v>
      </c>
      <c r="B182">
        <v>2018</v>
      </c>
      <c r="C182" t="s">
        <v>29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25">
      <c r="A183" t="s">
        <v>30</v>
      </c>
      <c r="B183">
        <v>2018</v>
      </c>
      <c r="C183" t="s">
        <v>29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31</v>
      </c>
      <c r="B184">
        <v>2018</v>
      </c>
      <c r="C184" t="s">
        <v>29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25">
      <c r="A185" t="s">
        <v>28</v>
      </c>
      <c r="B185">
        <v>2018</v>
      </c>
      <c r="C185" t="s">
        <v>32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25">
      <c r="A186" t="s">
        <v>30</v>
      </c>
      <c r="B186">
        <v>2018</v>
      </c>
      <c r="C186" t="s">
        <v>32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31</v>
      </c>
      <c r="B187">
        <v>2018</v>
      </c>
      <c r="C187" t="s">
        <v>32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25">
      <c r="A188" t="s">
        <v>28</v>
      </c>
      <c r="B188">
        <v>2018</v>
      </c>
      <c r="C188" t="s">
        <v>33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25">
      <c r="A189" t="s">
        <v>30</v>
      </c>
      <c r="B189">
        <v>2018</v>
      </c>
      <c r="C189" t="s">
        <v>33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31</v>
      </c>
      <c r="B190">
        <v>2018</v>
      </c>
      <c r="C190" t="s">
        <v>33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25">
      <c r="A191" t="s">
        <v>28</v>
      </c>
      <c r="B191">
        <v>2018</v>
      </c>
      <c r="C191" t="s">
        <v>34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25">
      <c r="A192" t="s">
        <v>30</v>
      </c>
      <c r="B192">
        <v>2018</v>
      </c>
      <c r="C192" t="s">
        <v>34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31</v>
      </c>
      <c r="B193">
        <v>2018</v>
      </c>
      <c r="C193" t="s">
        <v>34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25">
      <c r="A194" t="s">
        <v>28</v>
      </c>
      <c r="B194">
        <v>2018</v>
      </c>
      <c r="C194" t="s">
        <v>35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25">
      <c r="A195" t="s">
        <v>30</v>
      </c>
      <c r="B195">
        <v>2018</v>
      </c>
      <c r="C195" t="s">
        <v>35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31</v>
      </c>
      <c r="B196">
        <v>2018</v>
      </c>
      <c r="C196" t="s">
        <v>35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25">
      <c r="A197" t="s">
        <v>28</v>
      </c>
      <c r="B197">
        <v>2018</v>
      </c>
      <c r="C197" t="s">
        <v>36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25">
      <c r="A198" t="s">
        <v>30</v>
      </c>
      <c r="B198">
        <v>2018</v>
      </c>
      <c r="C198" t="s">
        <v>36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31</v>
      </c>
      <c r="B199">
        <v>2018</v>
      </c>
      <c r="C199" t="s">
        <v>36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25">
      <c r="A200" t="s">
        <v>28</v>
      </c>
      <c r="B200">
        <v>2018</v>
      </c>
      <c r="C200" t="s">
        <v>37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25">
      <c r="A201" t="s">
        <v>30</v>
      </c>
      <c r="B201">
        <v>2018</v>
      </c>
      <c r="C201" t="s">
        <v>37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31</v>
      </c>
      <c r="B202">
        <v>2018</v>
      </c>
      <c r="C202" t="s">
        <v>37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25">
      <c r="A203" t="s">
        <v>28</v>
      </c>
      <c r="B203">
        <v>2018</v>
      </c>
      <c r="C203" t="s">
        <v>38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25">
      <c r="A204" t="s">
        <v>30</v>
      </c>
      <c r="B204">
        <v>2018</v>
      </c>
      <c r="C204" t="s">
        <v>38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31</v>
      </c>
      <c r="B205">
        <v>2018</v>
      </c>
      <c r="C205" t="s">
        <v>38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25">
      <c r="A206" t="s">
        <v>28</v>
      </c>
      <c r="B206">
        <v>2018</v>
      </c>
      <c r="C206" t="s">
        <v>39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25">
      <c r="A207" t="s">
        <v>30</v>
      </c>
      <c r="B207">
        <v>2018</v>
      </c>
      <c r="C207" t="s">
        <v>39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31</v>
      </c>
      <c r="B208">
        <v>2018</v>
      </c>
      <c r="C208" t="s">
        <v>39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25">
      <c r="A209" t="s">
        <v>28</v>
      </c>
      <c r="B209">
        <v>2018</v>
      </c>
      <c r="C209" t="s">
        <v>40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25">
      <c r="A210" t="s">
        <v>30</v>
      </c>
      <c r="B210">
        <v>2018</v>
      </c>
      <c r="C210" t="s">
        <v>40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31</v>
      </c>
      <c r="B211">
        <v>2018</v>
      </c>
      <c r="C211" t="s">
        <v>40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25">
      <c r="A212" t="s">
        <v>28</v>
      </c>
      <c r="B212">
        <v>2018</v>
      </c>
      <c r="C212" t="s">
        <v>42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25">
      <c r="A213" t="s">
        <v>30</v>
      </c>
      <c r="B213">
        <v>2018</v>
      </c>
      <c r="C213" t="s">
        <v>42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31</v>
      </c>
      <c r="B214">
        <v>2018</v>
      </c>
      <c r="C214" t="s">
        <v>42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t="s">
        <v>28</v>
      </c>
      <c r="B215">
        <v>2018</v>
      </c>
      <c r="C215" t="s">
        <v>43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25">
      <c r="A216" t="s">
        <v>30</v>
      </c>
      <c r="B216">
        <v>2018</v>
      </c>
      <c r="C216" t="s">
        <v>43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31</v>
      </c>
      <c r="B217">
        <v>2018</v>
      </c>
      <c r="C217" t="s">
        <v>43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25">
      <c r="A218" t="s">
        <v>28</v>
      </c>
      <c r="B218">
        <v>2019</v>
      </c>
      <c r="C218" t="s">
        <v>29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25">
      <c r="A219" t="s">
        <v>30</v>
      </c>
      <c r="B219">
        <v>2019</v>
      </c>
      <c r="C219" t="s">
        <v>29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31</v>
      </c>
      <c r="B220">
        <v>2019</v>
      </c>
      <c r="C220" t="s">
        <v>29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25">
      <c r="A221" t="s">
        <v>28</v>
      </c>
      <c r="B221">
        <v>2019</v>
      </c>
      <c r="C221" t="s">
        <v>32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25">
      <c r="A222" t="s">
        <v>30</v>
      </c>
      <c r="B222">
        <v>2019</v>
      </c>
      <c r="C222" t="s">
        <v>32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31</v>
      </c>
      <c r="B223">
        <v>2019</v>
      </c>
      <c r="C223" t="s">
        <v>32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25">
      <c r="A224" t="s">
        <v>28</v>
      </c>
      <c r="B224">
        <v>2019</v>
      </c>
      <c r="C224" t="s">
        <v>33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25">
      <c r="A225" t="s">
        <v>30</v>
      </c>
      <c r="B225">
        <v>2019</v>
      </c>
      <c r="C225" t="s">
        <v>33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31</v>
      </c>
      <c r="B226">
        <v>2019</v>
      </c>
      <c r="C226" t="s">
        <v>33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25">
      <c r="A227" t="s">
        <v>28</v>
      </c>
      <c r="B227">
        <v>2019</v>
      </c>
      <c r="C227" t="s">
        <v>35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25">
      <c r="A228" t="s">
        <v>30</v>
      </c>
      <c r="B228">
        <v>2019</v>
      </c>
      <c r="C228" t="s">
        <v>35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25">
      <c r="A229" t="s">
        <v>31</v>
      </c>
      <c r="B229">
        <v>2019</v>
      </c>
      <c r="C229" t="s">
        <v>35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25">
      <c r="A230" t="s">
        <v>28</v>
      </c>
      <c r="B230">
        <v>2019</v>
      </c>
      <c r="C230" t="s">
        <v>36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25">
      <c r="A231" t="s">
        <v>30</v>
      </c>
      <c r="B231">
        <v>2019</v>
      </c>
      <c r="C231" t="s">
        <v>36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25">
      <c r="A232" t="s">
        <v>31</v>
      </c>
      <c r="B232">
        <v>2019</v>
      </c>
      <c r="C232" t="s">
        <v>36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25">
      <c r="A233" t="s">
        <v>28</v>
      </c>
      <c r="B233">
        <v>2019</v>
      </c>
      <c r="C233" t="s">
        <v>37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25">
      <c r="A234" t="s">
        <v>30</v>
      </c>
      <c r="B234">
        <v>2019</v>
      </c>
      <c r="C234" t="s">
        <v>37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25">
      <c r="A235" t="s">
        <v>31</v>
      </c>
      <c r="B235">
        <v>2019</v>
      </c>
      <c r="C235" t="s">
        <v>37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25">
      <c r="A236" t="s">
        <v>28</v>
      </c>
      <c r="B236">
        <v>2019</v>
      </c>
      <c r="C236" t="s">
        <v>38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25">
      <c r="A237" t="s">
        <v>30</v>
      </c>
      <c r="B237">
        <v>2019</v>
      </c>
      <c r="C237" t="s">
        <v>38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25">
      <c r="A238" t="s">
        <v>31</v>
      </c>
      <c r="B238">
        <v>2019</v>
      </c>
      <c r="C238" t="s">
        <v>38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25">
      <c r="A239" t="s">
        <v>28</v>
      </c>
      <c r="B239">
        <v>2019</v>
      </c>
      <c r="C239" t="s">
        <v>39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25">
      <c r="A240" t="s">
        <v>30</v>
      </c>
      <c r="B240">
        <v>2019</v>
      </c>
      <c r="C240" t="s">
        <v>39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25">
      <c r="A241" t="s">
        <v>31</v>
      </c>
      <c r="B241">
        <v>2019</v>
      </c>
      <c r="C241" t="s">
        <v>39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25">
      <c r="A242" t="s">
        <v>28</v>
      </c>
      <c r="B242">
        <v>2019</v>
      </c>
      <c r="C242" t="s">
        <v>40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25">
      <c r="A243" t="s">
        <v>30</v>
      </c>
      <c r="B243">
        <v>2019</v>
      </c>
      <c r="C243" t="s">
        <v>40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25">
      <c r="A244" t="s">
        <v>31</v>
      </c>
      <c r="B244">
        <v>2019</v>
      </c>
      <c r="C244" t="s">
        <v>40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25">
      <c r="A245" t="s">
        <v>28</v>
      </c>
      <c r="B245">
        <v>2019</v>
      </c>
      <c r="C245" t="s">
        <v>42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25">
      <c r="A246" t="s">
        <v>30</v>
      </c>
      <c r="B246">
        <v>2019</v>
      </c>
      <c r="C246" t="s">
        <v>42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25">
      <c r="A247" t="s">
        <v>31</v>
      </c>
      <c r="B247">
        <v>2019</v>
      </c>
      <c r="C247" t="s">
        <v>42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25">
      <c r="A248" t="s">
        <v>28</v>
      </c>
      <c r="B248">
        <v>2019</v>
      </c>
      <c r="C248" t="s">
        <v>43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25">
      <c r="A249" t="s">
        <v>30</v>
      </c>
      <c r="B249">
        <v>2019</v>
      </c>
      <c r="C249" t="s">
        <v>43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25">
      <c r="A250" t="s">
        <v>31</v>
      </c>
      <c r="B250">
        <v>2019</v>
      </c>
      <c r="C250" t="s">
        <v>43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25">
      <c r="A251" t="s">
        <v>28</v>
      </c>
      <c r="B251">
        <v>2020</v>
      </c>
      <c r="C251" t="s">
        <v>29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25">
      <c r="A252" t="s">
        <v>30</v>
      </c>
      <c r="B252">
        <v>2020</v>
      </c>
      <c r="C252" t="s">
        <v>29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25">
      <c r="A253" t="s">
        <v>31</v>
      </c>
      <c r="B253">
        <v>2020</v>
      </c>
      <c r="C253" t="s">
        <v>29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25">
      <c r="A254" t="s">
        <v>28</v>
      </c>
      <c r="B254">
        <v>2020</v>
      </c>
      <c r="C254" t="s">
        <v>32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25">
      <c r="A255" t="s">
        <v>30</v>
      </c>
      <c r="B255">
        <v>2020</v>
      </c>
      <c r="C255" t="s">
        <v>32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25">
      <c r="A256" t="s">
        <v>31</v>
      </c>
      <c r="B256">
        <v>2020</v>
      </c>
      <c r="C256" t="s">
        <v>32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25">
      <c r="A257" t="s">
        <v>28</v>
      </c>
      <c r="B257">
        <v>2020</v>
      </c>
      <c r="C257" t="s">
        <v>33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25">
      <c r="A258" t="s">
        <v>30</v>
      </c>
      <c r="B258">
        <v>2020</v>
      </c>
      <c r="C258" t="s">
        <v>33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25">
      <c r="A259" t="s">
        <v>31</v>
      </c>
      <c r="B259">
        <v>2020</v>
      </c>
      <c r="C259" t="s">
        <v>33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25">
      <c r="A260" t="s">
        <v>28</v>
      </c>
      <c r="B260">
        <v>2020</v>
      </c>
      <c r="C260" t="s">
        <v>34</v>
      </c>
      <c r="D260">
        <v>147.19999999999999</v>
      </c>
      <c r="E260">
        <v>167.3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158.9</v>
      </c>
      <c r="P260">
        <v>150.1</v>
      </c>
      <c r="Q260">
        <v>170.5</v>
      </c>
      <c r="R260">
        <v>150.4</v>
      </c>
      <c r="S260">
        <v>140.9</v>
      </c>
      <c r="T260">
        <v>149</v>
      </c>
      <c r="V260">
        <v>148.4</v>
      </c>
      <c r="W260">
        <v>146.1</v>
      </c>
      <c r="X260">
        <v>154.30000000000001</v>
      </c>
      <c r="Y260">
        <v>130.5</v>
      </c>
      <c r="Z260">
        <v>143.80000000000001</v>
      </c>
      <c r="AA260">
        <v>156.6</v>
      </c>
      <c r="AB260">
        <v>143.6</v>
      </c>
      <c r="AC260">
        <v>143.4</v>
      </c>
      <c r="AD260">
        <v>149.19999999999999</v>
      </c>
    </row>
    <row r="261" spans="1:30" x14ac:dyDescent="0.25">
      <c r="A261" t="s">
        <v>30</v>
      </c>
      <c r="B261">
        <v>2020</v>
      </c>
      <c r="C261" t="s">
        <v>34</v>
      </c>
      <c r="D261">
        <v>151.80000000000001</v>
      </c>
      <c r="E261">
        <v>167.3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158.9</v>
      </c>
      <c r="P261">
        <v>153.5</v>
      </c>
      <c r="Q261">
        <v>170.5</v>
      </c>
      <c r="R261">
        <v>150.4</v>
      </c>
      <c r="S261">
        <v>140.9</v>
      </c>
      <c r="T261">
        <v>149</v>
      </c>
      <c r="U261">
        <v>155.6</v>
      </c>
      <c r="V261">
        <v>137.1</v>
      </c>
      <c r="W261">
        <v>146.1</v>
      </c>
      <c r="X261">
        <v>144.80000000000001</v>
      </c>
      <c r="Y261">
        <v>130.5</v>
      </c>
      <c r="Z261">
        <v>143.80000000000001</v>
      </c>
      <c r="AA261">
        <v>156.6</v>
      </c>
      <c r="AB261">
        <v>143.6</v>
      </c>
      <c r="AC261">
        <v>143.4</v>
      </c>
      <c r="AD261">
        <v>149.19999999999999</v>
      </c>
    </row>
    <row r="262" spans="1:30" x14ac:dyDescent="0.25">
      <c r="A262" t="s">
        <v>31</v>
      </c>
      <c r="B262">
        <v>2020</v>
      </c>
      <c r="C262" t="s">
        <v>34</v>
      </c>
      <c r="D262">
        <v>148.69999999999999</v>
      </c>
      <c r="E262">
        <v>167.3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158.9</v>
      </c>
      <c r="P262">
        <v>151.4</v>
      </c>
      <c r="Q262">
        <v>170.5</v>
      </c>
      <c r="R262">
        <v>150.4</v>
      </c>
      <c r="S262">
        <v>140.9</v>
      </c>
      <c r="T262">
        <v>149</v>
      </c>
      <c r="U262">
        <v>155.6</v>
      </c>
      <c r="V262">
        <v>144.1</v>
      </c>
      <c r="W262">
        <v>146.1</v>
      </c>
      <c r="X262">
        <v>150.69999999999999</v>
      </c>
      <c r="Y262">
        <v>130.5</v>
      </c>
      <c r="Z262">
        <v>143.80000000000001</v>
      </c>
      <c r="AA262">
        <v>156.6</v>
      </c>
      <c r="AB262">
        <v>143.6</v>
      </c>
      <c r="AC262">
        <v>143.4</v>
      </c>
      <c r="AD262">
        <v>149.19999999999999</v>
      </c>
    </row>
    <row r="263" spans="1:30" x14ac:dyDescent="0.25">
      <c r="A263" t="s">
        <v>28</v>
      </c>
      <c r="B263">
        <v>2020</v>
      </c>
      <c r="C263" t="s">
        <v>36</v>
      </c>
      <c r="D263">
        <v>148.19999999999999</v>
      </c>
      <c r="E263">
        <v>190.3</v>
      </c>
      <c r="F263">
        <v>149.4</v>
      </c>
      <c r="G263">
        <v>153.30000000000001</v>
      </c>
      <c r="H263">
        <v>138.19999999999999</v>
      </c>
      <c r="I263">
        <v>143.19999999999999</v>
      </c>
      <c r="J263">
        <v>148.9</v>
      </c>
      <c r="K263">
        <v>150.30000000000001</v>
      </c>
      <c r="L263">
        <v>113.2</v>
      </c>
      <c r="M263">
        <v>159.80000000000001</v>
      </c>
      <c r="N263">
        <v>142.1</v>
      </c>
      <c r="O263">
        <v>161.80000000000001</v>
      </c>
      <c r="P263">
        <v>152.30000000000001</v>
      </c>
      <c r="Q263">
        <v>182.4</v>
      </c>
      <c r="R263">
        <v>154.69999999999999</v>
      </c>
      <c r="S263">
        <v>150</v>
      </c>
      <c r="T263">
        <v>154.1</v>
      </c>
      <c r="V263">
        <v>144.9</v>
      </c>
      <c r="W263">
        <v>151.69999999999999</v>
      </c>
      <c r="X263">
        <v>158.19999999999999</v>
      </c>
      <c r="Y263">
        <v>141.4</v>
      </c>
      <c r="Z263">
        <v>153.19999999999999</v>
      </c>
      <c r="AA263">
        <v>161.80000000000001</v>
      </c>
      <c r="AB263">
        <v>151.19999999999999</v>
      </c>
      <c r="AC263">
        <v>151.69999999999999</v>
      </c>
      <c r="AD263">
        <v>152.69999999999999</v>
      </c>
    </row>
    <row r="264" spans="1:30" x14ac:dyDescent="0.25">
      <c r="A264" t="s">
        <v>30</v>
      </c>
      <c r="B264">
        <v>2020</v>
      </c>
      <c r="C264" t="s">
        <v>36</v>
      </c>
      <c r="D264">
        <v>152.69999999999999</v>
      </c>
      <c r="E264">
        <v>197</v>
      </c>
      <c r="F264">
        <v>154.6</v>
      </c>
      <c r="G264">
        <v>153.4</v>
      </c>
      <c r="H264">
        <v>132.9</v>
      </c>
      <c r="I264">
        <v>151.80000000000001</v>
      </c>
      <c r="J264">
        <v>171.2</v>
      </c>
      <c r="K264">
        <v>152</v>
      </c>
      <c r="L264">
        <v>116.3</v>
      </c>
      <c r="M264">
        <v>158.80000000000001</v>
      </c>
      <c r="N264">
        <v>135.6</v>
      </c>
      <c r="O264">
        <v>161.69999999999999</v>
      </c>
      <c r="P264">
        <v>157</v>
      </c>
      <c r="Q264">
        <v>186.7</v>
      </c>
      <c r="R264">
        <v>149.1</v>
      </c>
      <c r="S264">
        <v>136.6</v>
      </c>
      <c r="T264">
        <v>147.19999999999999</v>
      </c>
      <c r="U264">
        <v>154.69999999999999</v>
      </c>
      <c r="V264">
        <v>137.1</v>
      </c>
      <c r="W264">
        <v>140.4</v>
      </c>
      <c r="X264">
        <v>148.1</v>
      </c>
      <c r="Y264">
        <v>129.30000000000001</v>
      </c>
      <c r="Z264">
        <v>144.5</v>
      </c>
      <c r="AA264">
        <v>152.5</v>
      </c>
      <c r="AB264">
        <v>152.19999999999999</v>
      </c>
      <c r="AC264">
        <v>142</v>
      </c>
      <c r="AD264">
        <v>150.80000000000001</v>
      </c>
    </row>
    <row r="265" spans="1:30" x14ac:dyDescent="0.25">
      <c r="A265" t="s">
        <v>31</v>
      </c>
      <c r="B265">
        <v>2020</v>
      </c>
      <c r="C265" t="s">
        <v>36</v>
      </c>
      <c r="D265">
        <v>149.6</v>
      </c>
      <c r="E265">
        <v>192.7</v>
      </c>
      <c r="F265">
        <v>151.4</v>
      </c>
      <c r="G265">
        <v>153.30000000000001</v>
      </c>
      <c r="H265">
        <v>136.30000000000001</v>
      </c>
      <c r="I265">
        <v>147.19999999999999</v>
      </c>
      <c r="J265">
        <v>156.5</v>
      </c>
      <c r="K265">
        <v>150.9</v>
      </c>
      <c r="L265">
        <v>114.2</v>
      </c>
      <c r="M265">
        <v>159.5</v>
      </c>
      <c r="N265">
        <v>139.4</v>
      </c>
      <c r="O265">
        <v>161.80000000000001</v>
      </c>
      <c r="P265">
        <v>154</v>
      </c>
      <c r="Q265">
        <v>183.5</v>
      </c>
      <c r="R265">
        <v>152.5</v>
      </c>
      <c r="S265">
        <v>144.4</v>
      </c>
      <c r="T265">
        <v>151.4</v>
      </c>
      <c r="U265">
        <v>154.69999999999999</v>
      </c>
      <c r="V265">
        <v>141.9</v>
      </c>
      <c r="W265">
        <v>146.4</v>
      </c>
      <c r="X265">
        <v>154.4</v>
      </c>
      <c r="Y265">
        <v>135</v>
      </c>
      <c r="Z265">
        <v>148.30000000000001</v>
      </c>
      <c r="AA265">
        <v>156.4</v>
      </c>
      <c r="AB265">
        <v>151.6</v>
      </c>
      <c r="AC265">
        <v>147</v>
      </c>
      <c r="AD265">
        <v>151.80000000000001</v>
      </c>
    </row>
    <row r="266" spans="1:30" x14ac:dyDescent="0.25">
      <c r="A266" t="s">
        <v>28</v>
      </c>
      <c r="B266">
        <v>2020</v>
      </c>
      <c r="C266" t="s">
        <v>37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25">
      <c r="A267" t="s">
        <v>30</v>
      </c>
      <c r="B267">
        <v>2020</v>
      </c>
      <c r="C267" t="s">
        <v>37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25">
      <c r="A268" t="s">
        <v>31</v>
      </c>
      <c r="B268">
        <v>2020</v>
      </c>
      <c r="C268" t="s">
        <v>37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25">
      <c r="A269" t="s">
        <v>28</v>
      </c>
      <c r="B269">
        <v>2020</v>
      </c>
      <c r="C269" t="s">
        <v>38</v>
      </c>
      <c r="D269">
        <v>147.6</v>
      </c>
      <c r="E269">
        <v>187.2</v>
      </c>
      <c r="F269">
        <v>148.4</v>
      </c>
      <c r="G269">
        <v>153.30000000000001</v>
      </c>
      <c r="H269">
        <v>139.80000000000001</v>
      </c>
      <c r="I269">
        <v>146.9</v>
      </c>
      <c r="J269">
        <v>171</v>
      </c>
      <c r="K269">
        <v>149.9</v>
      </c>
      <c r="L269">
        <v>114.2</v>
      </c>
      <c r="M269">
        <v>160</v>
      </c>
      <c r="N269">
        <v>143.5</v>
      </c>
      <c r="O269">
        <v>161.5</v>
      </c>
      <c r="P269">
        <v>155.30000000000001</v>
      </c>
      <c r="Q269">
        <v>180.9</v>
      </c>
      <c r="R269">
        <v>155.1</v>
      </c>
      <c r="S269">
        <v>149.30000000000001</v>
      </c>
      <c r="T269">
        <v>154.30000000000001</v>
      </c>
      <c r="V269">
        <v>145.80000000000001</v>
      </c>
      <c r="W269">
        <v>151.9</v>
      </c>
      <c r="X269">
        <v>158.80000000000001</v>
      </c>
      <c r="Y269">
        <v>143.6</v>
      </c>
      <c r="Z269">
        <v>152.19999999999999</v>
      </c>
      <c r="AA269">
        <v>162.69999999999999</v>
      </c>
      <c r="AB269">
        <v>153.6</v>
      </c>
      <c r="AC269">
        <v>153</v>
      </c>
      <c r="AD269">
        <v>154.69999999999999</v>
      </c>
    </row>
    <row r="270" spans="1:30" x14ac:dyDescent="0.25">
      <c r="A270" t="s">
        <v>30</v>
      </c>
      <c r="B270">
        <v>2020</v>
      </c>
      <c r="C270" t="s">
        <v>38</v>
      </c>
      <c r="D270">
        <v>151.6</v>
      </c>
      <c r="E270">
        <v>197.8</v>
      </c>
      <c r="F270">
        <v>154.5</v>
      </c>
      <c r="G270">
        <v>153.4</v>
      </c>
      <c r="H270">
        <v>133.4</v>
      </c>
      <c r="I270">
        <v>154.5</v>
      </c>
      <c r="J270">
        <v>191.9</v>
      </c>
      <c r="K270">
        <v>151.30000000000001</v>
      </c>
      <c r="L270">
        <v>116.8</v>
      </c>
      <c r="M270">
        <v>160</v>
      </c>
      <c r="N270">
        <v>136.5</v>
      </c>
      <c r="O270">
        <v>163.30000000000001</v>
      </c>
      <c r="P270">
        <v>159.9</v>
      </c>
      <c r="Q270">
        <v>187.2</v>
      </c>
      <c r="R270">
        <v>150</v>
      </c>
      <c r="S270">
        <v>135.19999999999999</v>
      </c>
      <c r="T270">
        <v>147.80000000000001</v>
      </c>
      <c r="U270">
        <v>155.5</v>
      </c>
      <c r="V270">
        <v>138.30000000000001</v>
      </c>
      <c r="W270">
        <v>144.5</v>
      </c>
      <c r="X270">
        <v>148.69999999999999</v>
      </c>
      <c r="Y270">
        <v>133.9</v>
      </c>
      <c r="Z270">
        <v>141.19999999999999</v>
      </c>
      <c r="AA270">
        <v>155.5</v>
      </c>
      <c r="AB270">
        <v>155.19999999999999</v>
      </c>
      <c r="AC270">
        <v>144.80000000000001</v>
      </c>
      <c r="AD270">
        <v>152.9</v>
      </c>
    </row>
    <row r="271" spans="1:30" x14ac:dyDescent="0.25">
      <c r="A271" t="s">
        <v>31</v>
      </c>
      <c r="B271">
        <v>2020</v>
      </c>
      <c r="C271" t="s">
        <v>38</v>
      </c>
      <c r="D271">
        <v>148.9</v>
      </c>
      <c r="E271">
        <v>190.9</v>
      </c>
      <c r="F271">
        <v>150.80000000000001</v>
      </c>
      <c r="G271">
        <v>153.30000000000001</v>
      </c>
      <c r="H271">
        <v>137.4</v>
      </c>
      <c r="I271">
        <v>150.4</v>
      </c>
      <c r="J271">
        <v>178.1</v>
      </c>
      <c r="K271">
        <v>150.4</v>
      </c>
      <c r="L271">
        <v>115.1</v>
      </c>
      <c r="M271">
        <v>160</v>
      </c>
      <c r="N271">
        <v>140.6</v>
      </c>
      <c r="O271">
        <v>162.30000000000001</v>
      </c>
      <c r="P271">
        <v>157</v>
      </c>
      <c r="Q271">
        <v>182.6</v>
      </c>
      <c r="R271">
        <v>153.1</v>
      </c>
      <c r="S271">
        <v>143.4</v>
      </c>
      <c r="T271">
        <v>151.69999999999999</v>
      </c>
      <c r="U271">
        <v>155.5</v>
      </c>
      <c r="V271">
        <v>143</v>
      </c>
      <c r="W271">
        <v>148.4</v>
      </c>
      <c r="X271">
        <v>155</v>
      </c>
      <c r="Y271">
        <v>138.5</v>
      </c>
      <c r="Z271">
        <v>146</v>
      </c>
      <c r="AA271">
        <v>158.5</v>
      </c>
      <c r="AB271">
        <v>154.30000000000001</v>
      </c>
      <c r="AC271">
        <v>149</v>
      </c>
      <c r="AD271">
        <v>153.9</v>
      </c>
    </row>
    <row r="272" spans="1:30" x14ac:dyDescent="0.25">
      <c r="A272" t="s">
        <v>28</v>
      </c>
      <c r="B272">
        <v>2020</v>
      </c>
      <c r="C272" t="s">
        <v>39</v>
      </c>
      <c r="D272">
        <v>146.9</v>
      </c>
      <c r="E272">
        <v>183.9</v>
      </c>
      <c r="F272">
        <v>149.5</v>
      </c>
      <c r="G272">
        <v>153.4</v>
      </c>
      <c r="H272">
        <v>140.4</v>
      </c>
      <c r="I272">
        <v>147</v>
      </c>
      <c r="J272">
        <v>178.8</v>
      </c>
      <c r="K272">
        <v>149.30000000000001</v>
      </c>
      <c r="L272">
        <v>115.1</v>
      </c>
      <c r="M272">
        <v>160</v>
      </c>
      <c r="N272">
        <v>145.4</v>
      </c>
      <c r="O272">
        <v>161.6</v>
      </c>
      <c r="P272">
        <v>156.1</v>
      </c>
      <c r="Q272">
        <v>182.9</v>
      </c>
      <c r="R272">
        <v>155.4</v>
      </c>
      <c r="S272">
        <v>149.9</v>
      </c>
      <c r="T272">
        <v>154.6</v>
      </c>
      <c r="V272">
        <v>146.4</v>
      </c>
      <c r="W272">
        <v>151.6</v>
      </c>
      <c r="X272">
        <v>159.1</v>
      </c>
      <c r="Y272">
        <v>144.6</v>
      </c>
      <c r="Z272">
        <v>152.80000000000001</v>
      </c>
      <c r="AA272">
        <v>161.1</v>
      </c>
      <c r="AB272">
        <v>157.4</v>
      </c>
      <c r="AC272">
        <v>153.69999999999999</v>
      </c>
      <c r="AD272">
        <v>155.4</v>
      </c>
    </row>
    <row r="273" spans="1:30" x14ac:dyDescent="0.25">
      <c r="A273" t="s">
        <v>30</v>
      </c>
      <c r="B273">
        <v>2020</v>
      </c>
      <c r="C273" t="s">
        <v>39</v>
      </c>
      <c r="D273">
        <v>151.5</v>
      </c>
      <c r="E273">
        <v>193.1</v>
      </c>
      <c r="F273">
        <v>157.30000000000001</v>
      </c>
      <c r="G273">
        <v>153.9</v>
      </c>
      <c r="H273">
        <v>134.4</v>
      </c>
      <c r="I273">
        <v>155.4</v>
      </c>
      <c r="J273">
        <v>202</v>
      </c>
      <c r="K273">
        <v>150.80000000000001</v>
      </c>
      <c r="L273">
        <v>118.9</v>
      </c>
      <c r="M273">
        <v>160.9</v>
      </c>
      <c r="N273">
        <v>137.69999999999999</v>
      </c>
      <c r="O273">
        <v>164.4</v>
      </c>
      <c r="P273">
        <v>161.30000000000001</v>
      </c>
      <c r="Q273">
        <v>188.7</v>
      </c>
      <c r="R273">
        <v>150.19999999999999</v>
      </c>
      <c r="S273">
        <v>136.30000000000001</v>
      </c>
      <c r="T273">
        <v>148.1</v>
      </c>
      <c r="U273">
        <v>156.30000000000001</v>
      </c>
      <c r="V273">
        <v>137.19999999999999</v>
      </c>
      <c r="W273">
        <v>145.4</v>
      </c>
      <c r="X273">
        <v>150</v>
      </c>
      <c r="Y273">
        <v>135.1</v>
      </c>
      <c r="Z273">
        <v>141.80000000000001</v>
      </c>
      <c r="AA273">
        <v>154.9</v>
      </c>
      <c r="AB273">
        <v>159.80000000000001</v>
      </c>
      <c r="AC273">
        <v>146</v>
      </c>
      <c r="AD273">
        <v>154</v>
      </c>
    </row>
    <row r="274" spans="1:30" x14ac:dyDescent="0.25">
      <c r="A274" t="s">
        <v>31</v>
      </c>
      <c r="B274">
        <v>2020</v>
      </c>
      <c r="C274" t="s">
        <v>39</v>
      </c>
      <c r="D274">
        <v>148.4</v>
      </c>
      <c r="E274">
        <v>187.1</v>
      </c>
      <c r="F274">
        <v>152.5</v>
      </c>
      <c r="G274">
        <v>153.6</v>
      </c>
      <c r="H274">
        <v>138.19999999999999</v>
      </c>
      <c r="I274">
        <v>150.9</v>
      </c>
      <c r="J274">
        <v>186.7</v>
      </c>
      <c r="K274">
        <v>149.80000000000001</v>
      </c>
      <c r="L274">
        <v>116.4</v>
      </c>
      <c r="M274">
        <v>160.30000000000001</v>
      </c>
      <c r="N274">
        <v>142.19999999999999</v>
      </c>
      <c r="O274">
        <v>162.9</v>
      </c>
      <c r="P274">
        <v>158</v>
      </c>
      <c r="Q274">
        <v>184.4</v>
      </c>
      <c r="R274">
        <v>153.4</v>
      </c>
      <c r="S274">
        <v>144.30000000000001</v>
      </c>
      <c r="T274">
        <v>152</v>
      </c>
      <c r="U274">
        <v>156.30000000000001</v>
      </c>
      <c r="V274">
        <v>142.9</v>
      </c>
      <c r="W274">
        <v>148.69999999999999</v>
      </c>
      <c r="X274">
        <v>155.6</v>
      </c>
      <c r="Y274">
        <v>139.6</v>
      </c>
      <c r="Z274">
        <v>146.6</v>
      </c>
      <c r="AA274">
        <v>157.5</v>
      </c>
      <c r="AB274">
        <v>158.4</v>
      </c>
      <c r="AC274">
        <v>150</v>
      </c>
      <c r="AD274">
        <v>154.69999999999999</v>
      </c>
    </row>
    <row r="275" spans="1:30" x14ac:dyDescent="0.25">
      <c r="A275" t="s">
        <v>28</v>
      </c>
      <c r="B275">
        <v>2020</v>
      </c>
      <c r="C275" t="s">
        <v>40</v>
      </c>
      <c r="D275">
        <v>146</v>
      </c>
      <c r="E275">
        <v>186.3</v>
      </c>
      <c r="F275">
        <v>159.19999999999999</v>
      </c>
      <c r="G275">
        <v>153.6</v>
      </c>
      <c r="H275">
        <v>142.6</v>
      </c>
      <c r="I275">
        <v>147.19999999999999</v>
      </c>
      <c r="J275">
        <v>200.6</v>
      </c>
      <c r="K275">
        <v>150.30000000000001</v>
      </c>
      <c r="L275">
        <v>115.3</v>
      </c>
      <c r="M275">
        <v>160.9</v>
      </c>
      <c r="N275">
        <v>147.4</v>
      </c>
      <c r="O275">
        <v>161.9</v>
      </c>
      <c r="P275">
        <v>159.6</v>
      </c>
      <c r="Q275">
        <v>182.7</v>
      </c>
      <c r="R275">
        <v>155.69999999999999</v>
      </c>
      <c r="S275">
        <v>150.6</v>
      </c>
      <c r="T275">
        <v>155</v>
      </c>
      <c r="V275">
        <v>146.80000000000001</v>
      </c>
      <c r="W275">
        <v>152</v>
      </c>
      <c r="X275">
        <v>159.5</v>
      </c>
      <c r="Y275">
        <v>146.4</v>
      </c>
      <c r="Z275">
        <v>152.4</v>
      </c>
      <c r="AA275">
        <v>162.5</v>
      </c>
      <c r="AB275">
        <v>156.19999999999999</v>
      </c>
      <c r="AC275">
        <v>154.30000000000001</v>
      </c>
      <c r="AD275">
        <v>157.5</v>
      </c>
    </row>
    <row r="276" spans="1:30" x14ac:dyDescent="0.25">
      <c r="A276" t="s">
        <v>30</v>
      </c>
      <c r="B276">
        <v>2020</v>
      </c>
      <c r="C276" t="s">
        <v>40</v>
      </c>
      <c r="D276">
        <v>150.6</v>
      </c>
      <c r="E276">
        <v>193.7</v>
      </c>
      <c r="F276">
        <v>164.8</v>
      </c>
      <c r="G276">
        <v>153.69999999999999</v>
      </c>
      <c r="H276">
        <v>135.69999999999999</v>
      </c>
      <c r="I276">
        <v>155.69999999999999</v>
      </c>
      <c r="J276">
        <v>226</v>
      </c>
      <c r="K276">
        <v>152.19999999999999</v>
      </c>
      <c r="L276">
        <v>118.1</v>
      </c>
      <c r="M276">
        <v>161.30000000000001</v>
      </c>
      <c r="N276">
        <v>139.19999999999999</v>
      </c>
      <c r="O276">
        <v>164.8</v>
      </c>
      <c r="P276">
        <v>164.4</v>
      </c>
      <c r="Q276">
        <v>188.7</v>
      </c>
      <c r="R276">
        <v>150.5</v>
      </c>
      <c r="S276">
        <v>136.1</v>
      </c>
      <c r="T276">
        <v>148.30000000000001</v>
      </c>
      <c r="U276">
        <v>156.5</v>
      </c>
      <c r="V276">
        <v>137.1</v>
      </c>
      <c r="W276">
        <v>145.1</v>
      </c>
      <c r="X276">
        <v>151</v>
      </c>
      <c r="Y276">
        <v>135.4</v>
      </c>
      <c r="Z276">
        <v>142</v>
      </c>
      <c r="AA276">
        <v>155.69999999999999</v>
      </c>
      <c r="AB276">
        <v>158.1</v>
      </c>
      <c r="AC276">
        <v>146.19999999999999</v>
      </c>
      <c r="AD276">
        <v>155.19999999999999</v>
      </c>
    </row>
    <row r="277" spans="1:30" x14ac:dyDescent="0.25">
      <c r="A277" t="s">
        <v>31</v>
      </c>
      <c r="B277">
        <v>2020</v>
      </c>
      <c r="C277" t="s">
        <v>40</v>
      </c>
      <c r="D277">
        <v>147.5</v>
      </c>
      <c r="E277">
        <v>188.9</v>
      </c>
      <c r="F277">
        <v>161.4</v>
      </c>
      <c r="G277">
        <v>153.6</v>
      </c>
      <c r="H277">
        <v>140.1</v>
      </c>
      <c r="I277">
        <v>151.19999999999999</v>
      </c>
      <c r="J277">
        <v>209.2</v>
      </c>
      <c r="K277">
        <v>150.9</v>
      </c>
      <c r="L277">
        <v>116.2</v>
      </c>
      <c r="M277">
        <v>161</v>
      </c>
      <c r="N277">
        <v>144</v>
      </c>
      <c r="O277">
        <v>163.19999999999999</v>
      </c>
      <c r="P277">
        <v>161.4</v>
      </c>
      <c r="Q277">
        <v>184.3</v>
      </c>
      <c r="R277">
        <v>153.69999999999999</v>
      </c>
      <c r="S277">
        <v>144.6</v>
      </c>
      <c r="T277">
        <v>152.30000000000001</v>
      </c>
      <c r="U277">
        <v>156.5</v>
      </c>
      <c r="V277">
        <v>143.1</v>
      </c>
      <c r="W277">
        <v>148.69999999999999</v>
      </c>
      <c r="X277">
        <v>156.30000000000001</v>
      </c>
      <c r="Y277">
        <v>140.6</v>
      </c>
      <c r="Z277">
        <v>146.5</v>
      </c>
      <c r="AA277">
        <v>158.5</v>
      </c>
      <c r="AB277">
        <v>157</v>
      </c>
      <c r="AC277">
        <v>150.4</v>
      </c>
      <c r="AD277">
        <v>156.4</v>
      </c>
    </row>
    <row r="278" spans="1:30" x14ac:dyDescent="0.25">
      <c r="A278" t="s">
        <v>28</v>
      </c>
      <c r="B278">
        <v>2020</v>
      </c>
      <c r="C278" t="s">
        <v>42</v>
      </c>
      <c r="D278">
        <v>145.4</v>
      </c>
      <c r="E278">
        <v>188.6</v>
      </c>
      <c r="F278">
        <v>171.6</v>
      </c>
      <c r="G278">
        <v>153.80000000000001</v>
      </c>
      <c r="H278">
        <v>145.4</v>
      </c>
      <c r="I278">
        <v>146.5</v>
      </c>
      <c r="J278">
        <v>222.2</v>
      </c>
      <c r="K278">
        <v>155.9</v>
      </c>
      <c r="L278">
        <v>114.9</v>
      </c>
      <c r="M278">
        <v>162</v>
      </c>
      <c r="N278">
        <v>150</v>
      </c>
      <c r="O278">
        <v>162.69999999999999</v>
      </c>
      <c r="P278">
        <v>163.4</v>
      </c>
      <c r="Q278">
        <v>183.4</v>
      </c>
      <c r="R278">
        <v>156.30000000000001</v>
      </c>
      <c r="S278">
        <v>151</v>
      </c>
      <c r="T278">
        <v>155.5</v>
      </c>
      <c r="V278">
        <v>147.5</v>
      </c>
      <c r="W278">
        <v>152.80000000000001</v>
      </c>
      <c r="X278">
        <v>160.4</v>
      </c>
      <c r="Y278">
        <v>146.1</v>
      </c>
      <c r="Z278">
        <v>153.6</v>
      </c>
      <c r="AA278">
        <v>161.6</v>
      </c>
      <c r="AB278">
        <v>156.19999999999999</v>
      </c>
      <c r="AC278">
        <v>154.5</v>
      </c>
      <c r="AD278">
        <v>159.80000000000001</v>
      </c>
    </row>
    <row r="279" spans="1:30" x14ac:dyDescent="0.25">
      <c r="A279" t="s">
        <v>30</v>
      </c>
      <c r="B279">
        <v>2020</v>
      </c>
      <c r="C279" t="s">
        <v>42</v>
      </c>
      <c r="D279">
        <v>149.69999999999999</v>
      </c>
      <c r="E279">
        <v>195.5</v>
      </c>
      <c r="F279">
        <v>176.9</v>
      </c>
      <c r="G279">
        <v>153.9</v>
      </c>
      <c r="H279">
        <v>138</v>
      </c>
      <c r="I279">
        <v>150.5</v>
      </c>
      <c r="J279">
        <v>245.3</v>
      </c>
      <c r="K279">
        <v>158.69999999999999</v>
      </c>
      <c r="L279">
        <v>117.2</v>
      </c>
      <c r="M279">
        <v>161.4</v>
      </c>
      <c r="N279">
        <v>141.5</v>
      </c>
      <c r="O279">
        <v>165.1</v>
      </c>
      <c r="P279">
        <v>167</v>
      </c>
      <c r="Q279">
        <v>188.8</v>
      </c>
      <c r="R279">
        <v>151.1</v>
      </c>
      <c r="S279">
        <v>136.4</v>
      </c>
      <c r="T279">
        <v>148.80000000000001</v>
      </c>
      <c r="U279">
        <v>158</v>
      </c>
      <c r="V279">
        <v>137.30000000000001</v>
      </c>
      <c r="W279">
        <v>145.1</v>
      </c>
      <c r="X279">
        <v>152</v>
      </c>
      <c r="Y279">
        <v>135.19999999999999</v>
      </c>
      <c r="Z279">
        <v>144.4</v>
      </c>
      <c r="AA279">
        <v>156.4</v>
      </c>
      <c r="AB279">
        <v>157.9</v>
      </c>
      <c r="AC279">
        <v>146.6</v>
      </c>
      <c r="AD279">
        <v>156.69999999999999</v>
      </c>
    </row>
    <row r="280" spans="1:30" x14ac:dyDescent="0.25">
      <c r="A280" t="s">
        <v>31</v>
      </c>
      <c r="B280">
        <v>2020</v>
      </c>
      <c r="C280" t="s">
        <v>42</v>
      </c>
      <c r="D280">
        <v>146.80000000000001</v>
      </c>
      <c r="E280">
        <v>191</v>
      </c>
      <c r="F280">
        <v>173.6</v>
      </c>
      <c r="G280">
        <v>153.80000000000001</v>
      </c>
      <c r="H280">
        <v>142.69999999999999</v>
      </c>
      <c r="I280">
        <v>148.4</v>
      </c>
      <c r="J280">
        <v>230</v>
      </c>
      <c r="K280">
        <v>156.80000000000001</v>
      </c>
      <c r="L280">
        <v>115.7</v>
      </c>
      <c r="M280">
        <v>161.80000000000001</v>
      </c>
      <c r="N280">
        <v>146.5</v>
      </c>
      <c r="O280">
        <v>163.80000000000001</v>
      </c>
      <c r="P280">
        <v>164.7</v>
      </c>
      <c r="Q280">
        <v>184.8</v>
      </c>
      <c r="R280">
        <v>154.30000000000001</v>
      </c>
      <c r="S280">
        <v>144.9</v>
      </c>
      <c r="T280">
        <v>152.80000000000001</v>
      </c>
      <c r="U280">
        <v>158</v>
      </c>
      <c r="V280">
        <v>143.6</v>
      </c>
      <c r="W280">
        <v>149.19999999999999</v>
      </c>
      <c r="X280">
        <v>157.19999999999999</v>
      </c>
      <c r="Y280">
        <v>140.4</v>
      </c>
      <c r="Z280">
        <v>148.4</v>
      </c>
      <c r="AA280">
        <v>158.6</v>
      </c>
      <c r="AB280">
        <v>156.9</v>
      </c>
      <c r="AC280">
        <v>150.69999999999999</v>
      </c>
      <c r="AD280">
        <v>158.4</v>
      </c>
    </row>
    <row r="281" spans="1:30" x14ac:dyDescent="0.25">
      <c r="A281" t="s">
        <v>28</v>
      </c>
      <c r="B281">
        <v>2020</v>
      </c>
      <c r="C281" t="s">
        <v>43</v>
      </c>
      <c r="D281">
        <v>144.6</v>
      </c>
      <c r="E281">
        <v>188.5</v>
      </c>
      <c r="F281">
        <v>173.4</v>
      </c>
      <c r="G281">
        <v>154</v>
      </c>
      <c r="H281">
        <v>150</v>
      </c>
      <c r="I281">
        <v>145.9</v>
      </c>
      <c r="J281">
        <v>225.2</v>
      </c>
      <c r="K281">
        <v>159.5</v>
      </c>
      <c r="L281">
        <v>114.4</v>
      </c>
      <c r="M281">
        <v>163.5</v>
      </c>
      <c r="N281">
        <v>153.4</v>
      </c>
      <c r="O281">
        <v>163.6</v>
      </c>
      <c r="P281">
        <v>164.5</v>
      </c>
      <c r="Q281">
        <v>183.6</v>
      </c>
      <c r="R281">
        <v>157</v>
      </c>
      <c r="S281">
        <v>151.6</v>
      </c>
      <c r="T281">
        <v>156.30000000000001</v>
      </c>
      <c r="V281">
        <v>148.69999999999999</v>
      </c>
      <c r="W281">
        <v>153.4</v>
      </c>
      <c r="X281">
        <v>161.6</v>
      </c>
      <c r="Y281">
        <v>146.4</v>
      </c>
      <c r="Z281">
        <v>153.9</v>
      </c>
      <c r="AA281">
        <v>162.9</v>
      </c>
      <c r="AB281">
        <v>156.6</v>
      </c>
      <c r="AC281">
        <v>155.19999999999999</v>
      </c>
      <c r="AD281">
        <v>160.69999999999999</v>
      </c>
    </row>
    <row r="282" spans="1:30" x14ac:dyDescent="0.25">
      <c r="A282" t="s">
        <v>30</v>
      </c>
      <c r="B282">
        <v>2020</v>
      </c>
      <c r="C282" t="s">
        <v>43</v>
      </c>
      <c r="D282">
        <v>149</v>
      </c>
      <c r="E282">
        <v>195.7</v>
      </c>
      <c r="F282">
        <v>178.3</v>
      </c>
      <c r="G282">
        <v>154.19999999999999</v>
      </c>
      <c r="H282">
        <v>140.69999999999999</v>
      </c>
      <c r="I282">
        <v>149.69999999999999</v>
      </c>
      <c r="J282">
        <v>240.9</v>
      </c>
      <c r="K282">
        <v>161.5</v>
      </c>
      <c r="L282">
        <v>117.1</v>
      </c>
      <c r="M282">
        <v>161.9</v>
      </c>
      <c r="N282">
        <v>143.30000000000001</v>
      </c>
      <c r="O282">
        <v>166.1</v>
      </c>
      <c r="P282">
        <v>167</v>
      </c>
      <c r="Q282">
        <v>190.2</v>
      </c>
      <c r="R282">
        <v>151.9</v>
      </c>
      <c r="S282">
        <v>136.69999999999999</v>
      </c>
      <c r="T282">
        <v>149.6</v>
      </c>
      <c r="U282">
        <v>158.4</v>
      </c>
      <c r="V282">
        <v>137.9</v>
      </c>
      <c r="W282">
        <v>145.5</v>
      </c>
      <c r="X282">
        <v>152.9</v>
      </c>
      <c r="Y282">
        <v>135.5</v>
      </c>
      <c r="Z282">
        <v>144.30000000000001</v>
      </c>
      <c r="AA282">
        <v>156.9</v>
      </c>
      <c r="AB282">
        <v>157.9</v>
      </c>
      <c r="AC282">
        <v>146.9</v>
      </c>
      <c r="AD282">
        <v>156.9</v>
      </c>
    </row>
    <row r="283" spans="1:30" x14ac:dyDescent="0.25">
      <c r="A283" t="s">
        <v>31</v>
      </c>
      <c r="B283">
        <v>2020</v>
      </c>
      <c r="C283" t="s">
        <v>43</v>
      </c>
      <c r="D283">
        <v>146</v>
      </c>
      <c r="E283">
        <v>191</v>
      </c>
      <c r="F283">
        <v>175.3</v>
      </c>
      <c r="G283">
        <v>154.1</v>
      </c>
      <c r="H283">
        <v>146.6</v>
      </c>
      <c r="I283">
        <v>147.69999999999999</v>
      </c>
      <c r="J283">
        <v>230.5</v>
      </c>
      <c r="K283">
        <v>160.19999999999999</v>
      </c>
      <c r="L283">
        <v>115.3</v>
      </c>
      <c r="M283">
        <v>163</v>
      </c>
      <c r="N283">
        <v>149.19999999999999</v>
      </c>
      <c r="O283">
        <v>164.8</v>
      </c>
      <c r="P283">
        <v>165.4</v>
      </c>
      <c r="Q283">
        <v>185.4</v>
      </c>
      <c r="R283">
        <v>155</v>
      </c>
      <c r="S283">
        <v>145.4</v>
      </c>
      <c r="T283">
        <v>153.6</v>
      </c>
      <c r="U283">
        <v>158.4</v>
      </c>
      <c r="V283">
        <v>144.6</v>
      </c>
      <c r="W283">
        <v>149.69999999999999</v>
      </c>
      <c r="X283">
        <v>158.30000000000001</v>
      </c>
      <c r="Y283">
        <v>140.69999999999999</v>
      </c>
      <c r="Z283">
        <v>148.5</v>
      </c>
      <c r="AA283">
        <v>159.4</v>
      </c>
      <c r="AB283">
        <v>157.1</v>
      </c>
      <c r="AC283">
        <v>151.19999999999999</v>
      </c>
      <c r="AD283">
        <v>158.9</v>
      </c>
    </row>
    <row r="284" spans="1:30" x14ac:dyDescent="0.25">
      <c r="A284" t="s">
        <v>28</v>
      </c>
      <c r="B284">
        <v>2021</v>
      </c>
      <c r="C284" t="s">
        <v>29</v>
      </c>
      <c r="D284">
        <v>143.4</v>
      </c>
      <c r="E284">
        <v>187.5</v>
      </c>
      <c r="F284">
        <v>173.4</v>
      </c>
      <c r="G284">
        <v>154</v>
      </c>
      <c r="H284">
        <v>154.80000000000001</v>
      </c>
      <c r="I284">
        <v>147</v>
      </c>
      <c r="J284">
        <v>187.8</v>
      </c>
      <c r="K284">
        <v>159.5</v>
      </c>
      <c r="L284">
        <v>113.8</v>
      </c>
      <c r="M284">
        <v>164.5</v>
      </c>
      <c r="N284">
        <v>156.1</v>
      </c>
      <c r="O284">
        <v>164.3</v>
      </c>
      <c r="P284">
        <v>159.6</v>
      </c>
      <c r="Q284">
        <v>184.6</v>
      </c>
      <c r="R284">
        <v>157.5</v>
      </c>
      <c r="S284">
        <v>152.4</v>
      </c>
      <c r="T284">
        <v>156.80000000000001</v>
      </c>
      <c r="V284">
        <v>150.9</v>
      </c>
      <c r="W284">
        <v>153.9</v>
      </c>
      <c r="X284">
        <v>162.5</v>
      </c>
      <c r="Y284">
        <v>147.5</v>
      </c>
      <c r="Z284">
        <v>155.1</v>
      </c>
      <c r="AA284">
        <v>163.5</v>
      </c>
      <c r="AB284">
        <v>156.19999999999999</v>
      </c>
      <c r="AC284">
        <v>155.9</v>
      </c>
      <c r="AD284">
        <v>158.5</v>
      </c>
    </row>
    <row r="285" spans="1:30" x14ac:dyDescent="0.25">
      <c r="A285" t="s">
        <v>30</v>
      </c>
      <c r="B285">
        <v>2021</v>
      </c>
      <c r="C285" t="s">
        <v>29</v>
      </c>
      <c r="D285">
        <v>148</v>
      </c>
      <c r="E285">
        <v>194.8</v>
      </c>
      <c r="F285">
        <v>178.4</v>
      </c>
      <c r="G285">
        <v>154.4</v>
      </c>
      <c r="H285">
        <v>144.1</v>
      </c>
      <c r="I285">
        <v>152.6</v>
      </c>
      <c r="J285">
        <v>206.8</v>
      </c>
      <c r="K285">
        <v>162.1</v>
      </c>
      <c r="L285">
        <v>116.3</v>
      </c>
      <c r="M285">
        <v>163</v>
      </c>
      <c r="N285">
        <v>145.9</v>
      </c>
      <c r="O285">
        <v>167.2</v>
      </c>
      <c r="P285">
        <v>163.4</v>
      </c>
      <c r="Q285">
        <v>191.8</v>
      </c>
      <c r="R285">
        <v>152.5</v>
      </c>
      <c r="S285">
        <v>137.30000000000001</v>
      </c>
      <c r="T285">
        <v>150.19999999999999</v>
      </c>
      <c r="U285">
        <v>157.69999999999999</v>
      </c>
      <c r="V285">
        <v>142.9</v>
      </c>
      <c r="W285">
        <v>145.69999999999999</v>
      </c>
      <c r="X285">
        <v>154.1</v>
      </c>
      <c r="Y285">
        <v>136.9</v>
      </c>
      <c r="Z285">
        <v>145.4</v>
      </c>
      <c r="AA285">
        <v>156.1</v>
      </c>
      <c r="AB285">
        <v>157.69999999999999</v>
      </c>
      <c r="AC285">
        <v>147.6</v>
      </c>
      <c r="AD285">
        <v>156</v>
      </c>
    </row>
    <row r="286" spans="1:30" x14ac:dyDescent="0.25">
      <c r="A286" t="s">
        <v>31</v>
      </c>
      <c r="B286">
        <v>2021</v>
      </c>
      <c r="C286" t="s">
        <v>29</v>
      </c>
      <c r="D286">
        <v>144.9</v>
      </c>
      <c r="E286">
        <v>190.1</v>
      </c>
      <c r="F286">
        <v>175.3</v>
      </c>
      <c r="G286">
        <v>154.1</v>
      </c>
      <c r="H286">
        <v>150.9</v>
      </c>
      <c r="I286">
        <v>149.6</v>
      </c>
      <c r="J286">
        <v>194.2</v>
      </c>
      <c r="K286">
        <v>160.4</v>
      </c>
      <c r="L286">
        <v>114.6</v>
      </c>
      <c r="M286">
        <v>164</v>
      </c>
      <c r="N286">
        <v>151.80000000000001</v>
      </c>
      <c r="O286">
        <v>165.6</v>
      </c>
      <c r="P286">
        <v>161</v>
      </c>
      <c r="Q286">
        <v>186.5</v>
      </c>
      <c r="R286">
        <v>155.5</v>
      </c>
      <c r="S286">
        <v>146.1</v>
      </c>
      <c r="T286">
        <v>154.19999999999999</v>
      </c>
      <c r="U286">
        <v>157.69999999999999</v>
      </c>
      <c r="V286">
        <v>147.9</v>
      </c>
      <c r="W286">
        <v>150</v>
      </c>
      <c r="X286">
        <v>159.30000000000001</v>
      </c>
      <c r="Y286">
        <v>141.9</v>
      </c>
      <c r="Z286">
        <v>149.6</v>
      </c>
      <c r="AA286">
        <v>159.19999999999999</v>
      </c>
      <c r="AB286">
        <v>156.80000000000001</v>
      </c>
      <c r="AC286">
        <v>151.9</v>
      </c>
      <c r="AD286">
        <v>157.30000000000001</v>
      </c>
    </row>
    <row r="287" spans="1:30" x14ac:dyDescent="0.25">
      <c r="A287" t="s">
        <v>28</v>
      </c>
      <c r="B287">
        <v>2021</v>
      </c>
      <c r="C287" t="s">
        <v>32</v>
      </c>
      <c r="D287">
        <v>142.80000000000001</v>
      </c>
      <c r="E287">
        <v>184</v>
      </c>
      <c r="F287">
        <v>168</v>
      </c>
      <c r="G287">
        <v>154.4</v>
      </c>
      <c r="H287">
        <v>163</v>
      </c>
      <c r="I287">
        <v>147.80000000000001</v>
      </c>
      <c r="J287">
        <v>149.69999999999999</v>
      </c>
      <c r="K287">
        <v>158.30000000000001</v>
      </c>
      <c r="L287">
        <v>111.8</v>
      </c>
      <c r="M287">
        <v>165</v>
      </c>
      <c r="N287">
        <v>160</v>
      </c>
      <c r="O287">
        <v>165.8</v>
      </c>
      <c r="P287">
        <v>154.69999999999999</v>
      </c>
      <c r="Q287">
        <v>186.5</v>
      </c>
      <c r="R287">
        <v>159.1</v>
      </c>
      <c r="S287">
        <v>153.9</v>
      </c>
      <c r="T287">
        <v>158.4</v>
      </c>
      <c r="V287">
        <v>154.4</v>
      </c>
      <c r="W287">
        <v>154.80000000000001</v>
      </c>
      <c r="X287">
        <v>164.3</v>
      </c>
      <c r="Y287">
        <v>150.19999999999999</v>
      </c>
      <c r="Z287">
        <v>157</v>
      </c>
      <c r="AA287">
        <v>163.6</v>
      </c>
      <c r="AB287">
        <v>155.19999999999999</v>
      </c>
      <c r="AC287">
        <v>157.19999999999999</v>
      </c>
      <c r="AD287">
        <v>156.69999999999999</v>
      </c>
    </row>
    <row r="288" spans="1:30" x14ac:dyDescent="0.25">
      <c r="A288" t="s">
        <v>30</v>
      </c>
      <c r="B288">
        <v>2021</v>
      </c>
      <c r="C288" t="s">
        <v>32</v>
      </c>
      <c r="D288">
        <v>147.6</v>
      </c>
      <c r="E288">
        <v>191.2</v>
      </c>
      <c r="F288">
        <v>169.9</v>
      </c>
      <c r="G288">
        <v>155.1</v>
      </c>
      <c r="H288">
        <v>151.4</v>
      </c>
      <c r="I288">
        <v>154</v>
      </c>
      <c r="J288">
        <v>180.2</v>
      </c>
      <c r="K288">
        <v>159.80000000000001</v>
      </c>
      <c r="L288">
        <v>114.9</v>
      </c>
      <c r="M288">
        <v>162.5</v>
      </c>
      <c r="N288">
        <v>149.19999999999999</v>
      </c>
      <c r="O288">
        <v>169.4</v>
      </c>
      <c r="P288">
        <v>160.80000000000001</v>
      </c>
      <c r="Q288">
        <v>193.3</v>
      </c>
      <c r="R288">
        <v>154.19999999999999</v>
      </c>
      <c r="S288">
        <v>138.19999999999999</v>
      </c>
      <c r="T288">
        <v>151.80000000000001</v>
      </c>
      <c r="U288">
        <v>159.80000000000001</v>
      </c>
      <c r="V288">
        <v>149.1</v>
      </c>
      <c r="W288">
        <v>146.5</v>
      </c>
      <c r="X288">
        <v>156.30000000000001</v>
      </c>
      <c r="Y288">
        <v>140.5</v>
      </c>
      <c r="Z288">
        <v>147.30000000000001</v>
      </c>
      <c r="AA288">
        <v>156.6</v>
      </c>
      <c r="AB288">
        <v>156.69999999999999</v>
      </c>
      <c r="AC288">
        <v>149.30000000000001</v>
      </c>
      <c r="AD288">
        <v>156.5</v>
      </c>
    </row>
    <row r="289" spans="1:30" x14ac:dyDescent="0.25">
      <c r="A289" t="s">
        <v>31</v>
      </c>
      <c r="B289">
        <v>2021</v>
      </c>
      <c r="C289" t="s">
        <v>32</v>
      </c>
      <c r="D289">
        <v>144.30000000000001</v>
      </c>
      <c r="E289">
        <v>186.5</v>
      </c>
      <c r="F289">
        <v>168.7</v>
      </c>
      <c r="G289">
        <v>154.69999999999999</v>
      </c>
      <c r="H289">
        <v>158.69999999999999</v>
      </c>
      <c r="I289">
        <v>150.69999999999999</v>
      </c>
      <c r="J289">
        <v>160</v>
      </c>
      <c r="K289">
        <v>158.80000000000001</v>
      </c>
      <c r="L289">
        <v>112.8</v>
      </c>
      <c r="M289">
        <v>164.2</v>
      </c>
      <c r="N289">
        <v>155.5</v>
      </c>
      <c r="O289">
        <v>167.5</v>
      </c>
      <c r="P289">
        <v>156.9</v>
      </c>
      <c r="Q289">
        <v>188.3</v>
      </c>
      <c r="R289">
        <v>157.19999999999999</v>
      </c>
      <c r="S289">
        <v>147.4</v>
      </c>
      <c r="T289">
        <v>155.80000000000001</v>
      </c>
      <c r="U289">
        <v>159.80000000000001</v>
      </c>
      <c r="V289">
        <v>152.4</v>
      </c>
      <c r="W289">
        <v>150.9</v>
      </c>
      <c r="X289">
        <v>161.30000000000001</v>
      </c>
      <c r="Y289">
        <v>145.1</v>
      </c>
      <c r="Z289">
        <v>151.5</v>
      </c>
      <c r="AA289">
        <v>159.5</v>
      </c>
      <c r="AB289">
        <v>155.80000000000001</v>
      </c>
      <c r="AC289">
        <v>153.4</v>
      </c>
      <c r="AD289">
        <v>156.6</v>
      </c>
    </row>
    <row r="290" spans="1:30" x14ac:dyDescent="0.25">
      <c r="A290" t="s">
        <v>28</v>
      </c>
      <c r="B290">
        <v>2021</v>
      </c>
      <c r="C290" t="s">
        <v>33</v>
      </c>
      <c r="D290">
        <v>142.5</v>
      </c>
      <c r="E290">
        <v>189.4</v>
      </c>
      <c r="F290">
        <v>163.19999999999999</v>
      </c>
      <c r="G290">
        <v>154.5</v>
      </c>
      <c r="H290">
        <v>168.2</v>
      </c>
      <c r="I290">
        <v>150.5</v>
      </c>
      <c r="J290">
        <v>141</v>
      </c>
      <c r="K290">
        <v>159.19999999999999</v>
      </c>
      <c r="L290">
        <v>111.7</v>
      </c>
      <c r="M290">
        <v>164</v>
      </c>
      <c r="N290">
        <v>160.6</v>
      </c>
      <c r="O290">
        <v>166.4</v>
      </c>
      <c r="P290">
        <v>154.5</v>
      </c>
      <c r="Q290">
        <v>186.1</v>
      </c>
      <c r="R290">
        <v>159.6</v>
      </c>
      <c r="S290">
        <v>154.4</v>
      </c>
      <c r="T290">
        <v>158.9</v>
      </c>
      <c r="V290">
        <v>156</v>
      </c>
      <c r="W290">
        <v>154.80000000000001</v>
      </c>
      <c r="X290">
        <v>164.6</v>
      </c>
      <c r="Y290">
        <v>151.30000000000001</v>
      </c>
      <c r="Z290">
        <v>157.80000000000001</v>
      </c>
      <c r="AA290">
        <v>163.80000000000001</v>
      </c>
      <c r="AB290">
        <v>153.1</v>
      </c>
      <c r="AC290">
        <v>157.30000000000001</v>
      </c>
      <c r="AD290">
        <v>156.69999999999999</v>
      </c>
    </row>
    <row r="291" spans="1:30" x14ac:dyDescent="0.25">
      <c r="A291" t="s">
        <v>30</v>
      </c>
      <c r="B291">
        <v>2021</v>
      </c>
      <c r="C291" t="s">
        <v>33</v>
      </c>
      <c r="D291">
        <v>147.5</v>
      </c>
      <c r="E291">
        <v>197.5</v>
      </c>
      <c r="F291">
        <v>164.7</v>
      </c>
      <c r="G291">
        <v>155.6</v>
      </c>
      <c r="H291">
        <v>156.4</v>
      </c>
      <c r="I291">
        <v>157.30000000000001</v>
      </c>
      <c r="J291">
        <v>166.1</v>
      </c>
      <c r="K291">
        <v>161.1</v>
      </c>
      <c r="L291">
        <v>114.3</v>
      </c>
      <c r="M291">
        <v>162.6</v>
      </c>
      <c r="N291">
        <v>150.69999999999999</v>
      </c>
      <c r="O291">
        <v>170.3</v>
      </c>
      <c r="P291">
        <v>160.4</v>
      </c>
      <c r="Q291">
        <v>193.5</v>
      </c>
      <c r="R291">
        <v>155.1</v>
      </c>
      <c r="S291">
        <v>138.69999999999999</v>
      </c>
      <c r="T291">
        <v>152.6</v>
      </c>
      <c r="U291">
        <v>159.9</v>
      </c>
      <c r="V291">
        <v>154.80000000000001</v>
      </c>
      <c r="W291">
        <v>147.19999999999999</v>
      </c>
      <c r="X291">
        <v>156.9</v>
      </c>
      <c r="Y291">
        <v>141.69999999999999</v>
      </c>
      <c r="Z291">
        <v>148.6</v>
      </c>
      <c r="AA291">
        <v>157.6</v>
      </c>
      <c r="AB291">
        <v>154.9</v>
      </c>
      <c r="AC291">
        <v>150</v>
      </c>
      <c r="AD291">
        <v>156.9</v>
      </c>
    </row>
    <row r="292" spans="1:30" x14ac:dyDescent="0.25">
      <c r="A292" t="s">
        <v>31</v>
      </c>
      <c r="B292">
        <v>2021</v>
      </c>
      <c r="C292" t="s">
        <v>33</v>
      </c>
      <c r="D292">
        <v>144.1</v>
      </c>
      <c r="E292">
        <v>192.2</v>
      </c>
      <c r="F292">
        <v>163.80000000000001</v>
      </c>
      <c r="G292">
        <v>154.9</v>
      </c>
      <c r="H292">
        <v>163.9</v>
      </c>
      <c r="I292">
        <v>153.69999999999999</v>
      </c>
      <c r="J292">
        <v>149.5</v>
      </c>
      <c r="K292">
        <v>159.80000000000001</v>
      </c>
      <c r="L292">
        <v>112.6</v>
      </c>
      <c r="M292">
        <v>163.5</v>
      </c>
      <c r="N292">
        <v>156.5</v>
      </c>
      <c r="O292">
        <v>168.2</v>
      </c>
      <c r="P292">
        <v>156.69999999999999</v>
      </c>
      <c r="Q292">
        <v>188.1</v>
      </c>
      <c r="R292">
        <v>157.80000000000001</v>
      </c>
      <c r="S292">
        <v>147.9</v>
      </c>
      <c r="T292">
        <v>156.4</v>
      </c>
      <c r="U292">
        <v>159.9</v>
      </c>
      <c r="V292">
        <v>155.5</v>
      </c>
      <c r="W292">
        <v>151.19999999999999</v>
      </c>
      <c r="X292">
        <v>161.69999999999999</v>
      </c>
      <c r="Y292">
        <v>146.19999999999999</v>
      </c>
      <c r="Z292">
        <v>152.6</v>
      </c>
      <c r="AA292">
        <v>160.19999999999999</v>
      </c>
      <c r="AB292">
        <v>153.80000000000001</v>
      </c>
      <c r="AC292">
        <v>153.80000000000001</v>
      </c>
      <c r="AD292">
        <v>156.80000000000001</v>
      </c>
    </row>
    <row r="293" spans="1:30" x14ac:dyDescent="0.25">
      <c r="A293" t="s">
        <v>28</v>
      </c>
      <c r="B293">
        <v>2021</v>
      </c>
      <c r="C293" t="s">
        <v>34</v>
      </c>
      <c r="D293">
        <v>142.69999999999999</v>
      </c>
      <c r="E293">
        <v>195.5</v>
      </c>
      <c r="F293">
        <v>163.4</v>
      </c>
      <c r="G293">
        <v>155</v>
      </c>
      <c r="H293">
        <v>175.2</v>
      </c>
      <c r="I293">
        <v>160.6</v>
      </c>
      <c r="J293">
        <v>135.1</v>
      </c>
      <c r="K293">
        <v>161.1</v>
      </c>
      <c r="L293">
        <v>112.2</v>
      </c>
      <c r="M293">
        <v>164.4</v>
      </c>
      <c r="N293">
        <v>161.9</v>
      </c>
      <c r="O293">
        <v>166.8</v>
      </c>
      <c r="P293">
        <v>155.6</v>
      </c>
      <c r="Q293">
        <v>186.8</v>
      </c>
      <c r="R293">
        <v>160.69999999999999</v>
      </c>
      <c r="S293">
        <v>155.1</v>
      </c>
      <c r="T293">
        <v>159.9</v>
      </c>
      <c r="V293">
        <v>156</v>
      </c>
      <c r="W293">
        <v>155.5</v>
      </c>
      <c r="X293">
        <v>165.3</v>
      </c>
      <c r="Y293">
        <v>151.69999999999999</v>
      </c>
      <c r="Z293">
        <v>158.6</v>
      </c>
      <c r="AA293">
        <v>164.1</v>
      </c>
      <c r="AB293">
        <v>154.6</v>
      </c>
      <c r="AC293">
        <v>158</v>
      </c>
      <c r="AD293">
        <v>157.6</v>
      </c>
    </row>
    <row r="294" spans="1:30" x14ac:dyDescent="0.25">
      <c r="A294" t="s">
        <v>30</v>
      </c>
      <c r="B294">
        <v>2021</v>
      </c>
      <c r="C294" t="s">
        <v>34</v>
      </c>
      <c r="D294">
        <v>147.6</v>
      </c>
      <c r="E294">
        <v>202.5</v>
      </c>
      <c r="F294">
        <v>166.4</v>
      </c>
      <c r="G294">
        <v>156</v>
      </c>
      <c r="H294">
        <v>161.4</v>
      </c>
      <c r="I294">
        <v>168.8</v>
      </c>
      <c r="J294">
        <v>161.6</v>
      </c>
      <c r="K294">
        <v>162.80000000000001</v>
      </c>
      <c r="L294">
        <v>114.8</v>
      </c>
      <c r="M294">
        <v>162.80000000000001</v>
      </c>
      <c r="N294">
        <v>151.5</v>
      </c>
      <c r="O294">
        <v>171.4</v>
      </c>
      <c r="P294">
        <v>162</v>
      </c>
      <c r="Q294">
        <v>194.4</v>
      </c>
      <c r="R294">
        <v>155.9</v>
      </c>
      <c r="S294">
        <v>139.30000000000001</v>
      </c>
      <c r="T294">
        <v>153.4</v>
      </c>
      <c r="U294">
        <v>161.4</v>
      </c>
      <c r="V294">
        <v>154.9</v>
      </c>
      <c r="W294">
        <v>147.6</v>
      </c>
      <c r="X294">
        <v>157.5</v>
      </c>
      <c r="Y294">
        <v>142.1</v>
      </c>
      <c r="Z294">
        <v>149.1</v>
      </c>
      <c r="AA294">
        <v>157.6</v>
      </c>
      <c r="AB294">
        <v>156.6</v>
      </c>
      <c r="AC294">
        <v>150.5</v>
      </c>
      <c r="AD294">
        <v>158</v>
      </c>
    </row>
    <row r="295" spans="1:30" x14ac:dyDescent="0.25">
      <c r="A295" t="s">
        <v>31</v>
      </c>
      <c r="B295">
        <v>2021</v>
      </c>
      <c r="C295" t="s">
        <v>34</v>
      </c>
      <c r="D295">
        <v>144.30000000000001</v>
      </c>
      <c r="E295">
        <v>198</v>
      </c>
      <c r="F295">
        <v>164.6</v>
      </c>
      <c r="G295">
        <v>155.4</v>
      </c>
      <c r="H295">
        <v>170.1</v>
      </c>
      <c r="I295">
        <v>164.4</v>
      </c>
      <c r="J295">
        <v>144.1</v>
      </c>
      <c r="K295">
        <v>161.69999999999999</v>
      </c>
      <c r="L295">
        <v>113.1</v>
      </c>
      <c r="M295">
        <v>163.9</v>
      </c>
      <c r="N295">
        <v>157.6</v>
      </c>
      <c r="O295">
        <v>168.9</v>
      </c>
      <c r="P295">
        <v>158</v>
      </c>
      <c r="Q295">
        <v>188.8</v>
      </c>
      <c r="R295">
        <v>158.80000000000001</v>
      </c>
      <c r="S295">
        <v>148.5</v>
      </c>
      <c r="T295">
        <v>157.30000000000001</v>
      </c>
      <c r="U295">
        <v>161.4</v>
      </c>
      <c r="V295">
        <v>155.6</v>
      </c>
      <c r="W295">
        <v>151.80000000000001</v>
      </c>
      <c r="X295">
        <v>162.30000000000001</v>
      </c>
      <c r="Y295">
        <v>146.6</v>
      </c>
      <c r="Z295">
        <v>153.19999999999999</v>
      </c>
      <c r="AA295">
        <v>160.30000000000001</v>
      </c>
      <c r="AB295">
        <v>155.4</v>
      </c>
      <c r="AC295">
        <v>154.4</v>
      </c>
      <c r="AD295">
        <v>157.80000000000001</v>
      </c>
    </row>
    <row r="296" spans="1:30" x14ac:dyDescent="0.25">
      <c r="A296" t="s">
        <v>28</v>
      </c>
      <c r="B296">
        <v>2021</v>
      </c>
      <c r="C296" t="s">
        <v>35</v>
      </c>
      <c r="D296">
        <v>145.1</v>
      </c>
      <c r="E296">
        <v>198.5</v>
      </c>
      <c r="F296">
        <v>168.6</v>
      </c>
      <c r="G296">
        <v>155.80000000000001</v>
      </c>
      <c r="H296">
        <v>184.4</v>
      </c>
      <c r="I296">
        <v>162.30000000000001</v>
      </c>
      <c r="J296">
        <v>138.4</v>
      </c>
      <c r="K296">
        <v>165.1</v>
      </c>
      <c r="L296">
        <v>114.3</v>
      </c>
      <c r="M296">
        <v>169.7</v>
      </c>
      <c r="N296">
        <v>164.6</v>
      </c>
      <c r="O296">
        <v>169.8</v>
      </c>
      <c r="P296">
        <v>158.69999999999999</v>
      </c>
      <c r="Q296">
        <v>189.6</v>
      </c>
      <c r="R296">
        <v>165.3</v>
      </c>
      <c r="S296">
        <v>160.6</v>
      </c>
      <c r="T296">
        <v>164.5</v>
      </c>
      <c r="V296">
        <v>161.69999999999999</v>
      </c>
      <c r="W296">
        <v>158.80000000000001</v>
      </c>
      <c r="X296">
        <v>169.1</v>
      </c>
      <c r="Y296">
        <v>153.19999999999999</v>
      </c>
      <c r="Z296">
        <v>160</v>
      </c>
      <c r="AA296">
        <v>167.6</v>
      </c>
      <c r="AB296">
        <v>159.30000000000001</v>
      </c>
      <c r="AC296">
        <v>161.1</v>
      </c>
      <c r="AD296">
        <v>161.1</v>
      </c>
    </row>
    <row r="297" spans="1:30" x14ac:dyDescent="0.25">
      <c r="A297" t="s">
        <v>30</v>
      </c>
      <c r="B297">
        <v>2021</v>
      </c>
      <c r="C297" t="s">
        <v>35</v>
      </c>
      <c r="D297">
        <v>148.80000000000001</v>
      </c>
      <c r="E297">
        <v>204.3</v>
      </c>
      <c r="F297">
        <v>173</v>
      </c>
      <c r="G297">
        <v>156.5</v>
      </c>
      <c r="H297">
        <v>168.8</v>
      </c>
      <c r="I297">
        <v>172.5</v>
      </c>
      <c r="J297">
        <v>166.5</v>
      </c>
      <c r="K297">
        <v>165.9</v>
      </c>
      <c r="L297">
        <v>115.9</v>
      </c>
      <c r="M297">
        <v>165.2</v>
      </c>
      <c r="N297">
        <v>152</v>
      </c>
      <c r="O297">
        <v>171.1</v>
      </c>
      <c r="P297">
        <v>164.2</v>
      </c>
      <c r="Q297">
        <v>198.2</v>
      </c>
      <c r="R297">
        <v>156.5</v>
      </c>
      <c r="S297">
        <v>140.19999999999999</v>
      </c>
      <c r="T297">
        <v>154.1</v>
      </c>
      <c r="U297">
        <v>161.6</v>
      </c>
      <c r="V297">
        <v>155.5</v>
      </c>
      <c r="W297">
        <v>150.1</v>
      </c>
      <c r="X297">
        <v>160.4</v>
      </c>
      <c r="Y297">
        <v>145</v>
      </c>
      <c r="Z297">
        <v>152.6</v>
      </c>
      <c r="AA297">
        <v>156.6</v>
      </c>
      <c r="AB297">
        <v>157.5</v>
      </c>
      <c r="AC297">
        <v>152.30000000000001</v>
      </c>
      <c r="AD297">
        <v>159.5</v>
      </c>
    </row>
    <row r="298" spans="1:30" x14ac:dyDescent="0.25">
      <c r="A298" t="s">
        <v>31</v>
      </c>
      <c r="B298">
        <v>2021</v>
      </c>
      <c r="C298" t="s">
        <v>35</v>
      </c>
      <c r="D298">
        <v>146.30000000000001</v>
      </c>
      <c r="E298">
        <v>200.5</v>
      </c>
      <c r="F298">
        <v>170.3</v>
      </c>
      <c r="G298">
        <v>156.1</v>
      </c>
      <c r="H298">
        <v>178.7</v>
      </c>
      <c r="I298">
        <v>167.1</v>
      </c>
      <c r="J298">
        <v>147.9</v>
      </c>
      <c r="K298">
        <v>165.4</v>
      </c>
      <c r="L298">
        <v>114.8</v>
      </c>
      <c r="M298">
        <v>168.2</v>
      </c>
      <c r="N298">
        <v>159.30000000000001</v>
      </c>
      <c r="O298">
        <v>170.4</v>
      </c>
      <c r="P298">
        <v>160.69999999999999</v>
      </c>
      <c r="Q298">
        <v>191.9</v>
      </c>
      <c r="R298">
        <v>161.80000000000001</v>
      </c>
      <c r="S298">
        <v>152.1</v>
      </c>
      <c r="T298">
        <v>160.4</v>
      </c>
      <c r="U298">
        <v>161.6</v>
      </c>
      <c r="V298">
        <v>159.4</v>
      </c>
      <c r="W298">
        <v>154.69999999999999</v>
      </c>
      <c r="X298">
        <v>165.8</v>
      </c>
      <c r="Y298">
        <v>148.9</v>
      </c>
      <c r="Z298">
        <v>155.80000000000001</v>
      </c>
      <c r="AA298">
        <v>161.19999999999999</v>
      </c>
      <c r="AB298">
        <v>158.6</v>
      </c>
      <c r="AC298">
        <v>156.80000000000001</v>
      </c>
      <c r="AD298">
        <v>160.4</v>
      </c>
    </row>
    <row r="299" spans="1:30" x14ac:dyDescent="0.25">
      <c r="A299" t="s">
        <v>28</v>
      </c>
      <c r="B299">
        <v>2021</v>
      </c>
      <c r="C299" t="s">
        <v>36</v>
      </c>
      <c r="D299">
        <v>145.6</v>
      </c>
      <c r="E299">
        <v>200.1</v>
      </c>
      <c r="F299">
        <v>179.3</v>
      </c>
      <c r="G299">
        <v>156.1</v>
      </c>
      <c r="H299">
        <v>190.4</v>
      </c>
      <c r="I299">
        <v>158.6</v>
      </c>
      <c r="J299">
        <v>144.69999999999999</v>
      </c>
      <c r="K299">
        <v>165.5</v>
      </c>
      <c r="L299">
        <v>114.6</v>
      </c>
      <c r="M299">
        <v>170</v>
      </c>
      <c r="N299">
        <v>165.5</v>
      </c>
      <c r="O299">
        <v>171.7</v>
      </c>
      <c r="P299">
        <v>160.5</v>
      </c>
      <c r="Q299">
        <v>189.1</v>
      </c>
      <c r="R299">
        <v>165.3</v>
      </c>
      <c r="S299">
        <v>159.9</v>
      </c>
      <c r="T299">
        <v>164.6</v>
      </c>
      <c r="V299">
        <v>162.1</v>
      </c>
      <c r="W299">
        <v>159.19999999999999</v>
      </c>
      <c r="X299">
        <v>169.7</v>
      </c>
      <c r="Y299">
        <v>154.19999999999999</v>
      </c>
      <c r="Z299">
        <v>160.4</v>
      </c>
      <c r="AA299">
        <v>166.8</v>
      </c>
      <c r="AB299">
        <v>159.4</v>
      </c>
      <c r="AC299">
        <v>161.5</v>
      </c>
      <c r="AD299">
        <v>162.1</v>
      </c>
    </row>
    <row r="300" spans="1:30" x14ac:dyDescent="0.25">
      <c r="A300" t="s">
        <v>30</v>
      </c>
      <c r="B300">
        <v>2021</v>
      </c>
      <c r="C300" t="s">
        <v>36</v>
      </c>
      <c r="D300">
        <v>149.19999999999999</v>
      </c>
      <c r="E300">
        <v>205.5</v>
      </c>
      <c r="F300">
        <v>182.8</v>
      </c>
      <c r="G300">
        <v>156.5</v>
      </c>
      <c r="H300">
        <v>172.2</v>
      </c>
      <c r="I300">
        <v>171.5</v>
      </c>
      <c r="J300">
        <v>176.2</v>
      </c>
      <c r="K300">
        <v>166.9</v>
      </c>
      <c r="L300">
        <v>116.1</v>
      </c>
      <c r="M300">
        <v>165.5</v>
      </c>
      <c r="N300">
        <v>152.30000000000001</v>
      </c>
      <c r="O300">
        <v>173.3</v>
      </c>
      <c r="P300">
        <v>166.2</v>
      </c>
      <c r="Q300">
        <v>195.6</v>
      </c>
      <c r="R300">
        <v>157.30000000000001</v>
      </c>
      <c r="S300">
        <v>140.5</v>
      </c>
      <c r="T300">
        <v>154.80000000000001</v>
      </c>
      <c r="U300">
        <v>160.5</v>
      </c>
      <c r="V300">
        <v>156.1</v>
      </c>
      <c r="W300">
        <v>149.80000000000001</v>
      </c>
      <c r="X300">
        <v>160.80000000000001</v>
      </c>
      <c r="Y300">
        <v>147.5</v>
      </c>
      <c r="Z300">
        <v>150.69999999999999</v>
      </c>
      <c r="AA300">
        <v>158.1</v>
      </c>
      <c r="AB300">
        <v>158</v>
      </c>
      <c r="AC300">
        <v>153.4</v>
      </c>
      <c r="AD300">
        <v>160.4</v>
      </c>
    </row>
    <row r="301" spans="1:30" x14ac:dyDescent="0.25">
      <c r="A301" t="s">
        <v>31</v>
      </c>
      <c r="B301">
        <v>2021</v>
      </c>
      <c r="C301" t="s">
        <v>36</v>
      </c>
      <c r="D301">
        <v>146.69999999999999</v>
      </c>
      <c r="E301">
        <v>202</v>
      </c>
      <c r="F301">
        <v>180.7</v>
      </c>
      <c r="G301">
        <v>156.19999999999999</v>
      </c>
      <c r="H301">
        <v>183.7</v>
      </c>
      <c r="I301">
        <v>164.6</v>
      </c>
      <c r="J301">
        <v>155.4</v>
      </c>
      <c r="K301">
        <v>166</v>
      </c>
      <c r="L301">
        <v>115.1</v>
      </c>
      <c r="M301">
        <v>168.5</v>
      </c>
      <c r="N301">
        <v>160</v>
      </c>
      <c r="O301">
        <v>172.4</v>
      </c>
      <c r="P301">
        <v>162.6</v>
      </c>
      <c r="Q301">
        <v>190.8</v>
      </c>
      <c r="R301">
        <v>162.19999999999999</v>
      </c>
      <c r="S301">
        <v>151.80000000000001</v>
      </c>
      <c r="T301">
        <v>160.69999999999999</v>
      </c>
      <c r="U301">
        <v>160.5</v>
      </c>
      <c r="V301">
        <v>159.80000000000001</v>
      </c>
      <c r="W301">
        <v>154.80000000000001</v>
      </c>
      <c r="X301">
        <v>166.3</v>
      </c>
      <c r="Y301">
        <v>150.69999999999999</v>
      </c>
      <c r="Z301">
        <v>154.9</v>
      </c>
      <c r="AA301">
        <v>161.69999999999999</v>
      </c>
      <c r="AB301">
        <v>158.80000000000001</v>
      </c>
      <c r="AC301">
        <v>157.6</v>
      </c>
      <c r="AD301">
        <v>161.30000000000001</v>
      </c>
    </row>
    <row r="302" spans="1:30" x14ac:dyDescent="0.25">
      <c r="A302" t="s">
        <v>28</v>
      </c>
      <c r="B302">
        <v>2021</v>
      </c>
      <c r="C302" t="s">
        <v>37</v>
      </c>
      <c r="D302">
        <v>145.1</v>
      </c>
      <c r="E302">
        <v>204.5</v>
      </c>
      <c r="F302">
        <v>180.4</v>
      </c>
      <c r="G302">
        <v>157.1</v>
      </c>
      <c r="H302">
        <v>188.7</v>
      </c>
      <c r="I302">
        <v>157.69999999999999</v>
      </c>
      <c r="J302">
        <v>152.80000000000001</v>
      </c>
      <c r="K302">
        <v>163.6</v>
      </c>
      <c r="L302">
        <v>113.9</v>
      </c>
      <c r="M302">
        <v>169.7</v>
      </c>
      <c r="N302">
        <v>166.2</v>
      </c>
      <c r="O302">
        <v>171</v>
      </c>
      <c r="P302">
        <v>161.69999999999999</v>
      </c>
      <c r="Q302">
        <v>189.7</v>
      </c>
      <c r="R302">
        <v>166</v>
      </c>
      <c r="S302">
        <v>161.1</v>
      </c>
      <c r="T302">
        <v>165.3</v>
      </c>
      <c r="V302">
        <v>162.5</v>
      </c>
      <c r="W302">
        <v>160.30000000000001</v>
      </c>
      <c r="X302">
        <v>170.4</v>
      </c>
      <c r="Y302">
        <v>157.1</v>
      </c>
      <c r="Z302">
        <v>160.69999999999999</v>
      </c>
      <c r="AA302">
        <v>167.2</v>
      </c>
      <c r="AB302">
        <v>160.4</v>
      </c>
      <c r="AC302">
        <v>162.80000000000001</v>
      </c>
      <c r="AD302">
        <v>163.19999999999999</v>
      </c>
    </row>
    <row r="303" spans="1:30" x14ac:dyDescent="0.25">
      <c r="A303" t="s">
        <v>30</v>
      </c>
      <c r="B303">
        <v>2021</v>
      </c>
      <c r="C303" t="s">
        <v>37</v>
      </c>
      <c r="D303">
        <v>149.1</v>
      </c>
      <c r="E303">
        <v>210.9</v>
      </c>
      <c r="F303">
        <v>185</v>
      </c>
      <c r="G303">
        <v>158.19999999999999</v>
      </c>
      <c r="H303">
        <v>170.6</v>
      </c>
      <c r="I303">
        <v>170.9</v>
      </c>
      <c r="J303">
        <v>186.4</v>
      </c>
      <c r="K303">
        <v>164.7</v>
      </c>
      <c r="L303">
        <v>115.7</v>
      </c>
      <c r="M303">
        <v>165.5</v>
      </c>
      <c r="N303">
        <v>153.4</v>
      </c>
      <c r="O303">
        <v>173.5</v>
      </c>
      <c r="P303">
        <v>167.9</v>
      </c>
      <c r="Q303">
        <v>195.5</v>
      </c>
      <c r="R303">
        <v>157.9</v>
      </c>
      <c r="S303">
        <v>141.9</v>
      </c>
      <c r="T303">
        <v>155.5</v>
      </c>
      <c r="U303">
        <v>161.5</v>
      </c>
      <c r="V303">
        <v>157.69999999999999</v>
      </c>
      <c r="W303">
        <v>150.69999999999999</v>
      </c>
      <c r="X303">
        <v>161.5</v>
      </c>
      <c r="Y303">
        <v>149.5</v>
      </c>
      <c r="Z303">
        <v>151.19999999999999</v>
      </c>
      <c r="AA303">
        <v>160.30000000000001</v>
      </c>
      <c r="AB303">
        <v>159.6</v>
      </c>
      <c r="AC303">
        <v>155</v>
      </c>
      <c r="AD303">
        <v>161.80000000000001</v>
      </c>
    </row>
    <row r="304" spans="1:30" x14ac:dyDescent="0.25">
      <c r="A304" t="s">
        <v>31</v>
      </c>
      <c r="B304">
        <v>2021</v>
      </c>
      <c r="C304" t="s">
        <v>37</v>
      </c>
      <c r="D304">
        <v>146.4</v>
      </c>
      <c r="E304">
        <v>206.8</v>
      </c>
      <c r="F304">
        <v>182.2</v>
      </c>
      <c r="G304">
        <v>157.5</v>
      </c>
      <c r="H304">
        <v>182.1</v>
      </c>
      <c r="I304">
        <v>163.9</v>
      </c>
      <c r="J304">
        <v>164.2</v>
      </c>
      <c r="K304">
        <v>164</v>
      </c>
      <c r="L304">
        <v>114.5</v>
      </c>
      <c r="M304">
        <v>168.3</v>
      </c>
      <c r="N304">
        <v>160.9</v>
      </c>
      <c r="O304">
        <v>172.2</v>
      </c>
      <c r="P304">
        <v>164</v>
      </c>
      <c r="Q304">
        <v>191.2</v>
      </c>
      <c r="R304">
        <v>162.80000000000001</v>
      </c>
      <c r="S304">
        <v>153.1</v>
      </c>
      <c r="T304">
        <v>161.4</v>
      </c>
      <c r="U304">
        <v>161.5</v>
      </c>
      <c r="V304">
        <v>160.69999999999999</v>
      </c>
      <c r="W304">
        <v>155.80000000000001</v>
      </c>
      <c r="X304">
        <v>167</v>
      </c>
      <c r="Y304">
        <v>153.1</v>
      </c>
      <c r="Z304">
        <v>155.30000000000001</v>
      </c>
      <c r="AA304">
        <v>163.19999999999999</v>
      </c>
      <c r="AB304">
        <v>160.1</v>
      </c>
      <c r="AC304">
        <v>159</v>
      </c>
      <c r="AD304">
        <v>162.5</v>
      </c>
    </row>
    <row r="305" spans="1:30" x14ac:dyDescent="0.25">
      <c r="A305" t="s">
        <v>28</v>
      </c>
      <c r="B305">
        <v>2021</v>
      </c>
      <c r="C305" t="s">
        <v>38</v>
      </c>
      <c r="D305">
        <v>144.9</v>
      </c>
      <c r="E305">
        <v>202.3</v>
      </c>
      <c r="F305">
        <v>176.5</v>
      </c>
      <c r="G305">
        <v>157.5</v>
      </c>
      <c r="H305">
        <v>190.9</v>
      </c>
      <c r="I305">
        <v>155.69999999999999</v>
      </c>
      <c r="J305">
        <v>153.9</v>
      </c>
      <c r="K305">
        <v>162.80000000000001</v>
      </c>
      <c r="L305">
        <v>115.2</v>
      </c>
      <c r="M305">
        <v>169.8</v>
      </c>
      <c r="N305">
        <v>167.6</v>
      </c>
      <c r="O305">
        <v>171.9</v>
      </c>
      <c r="P305">
        <v>161.80000000000001</v>
      </c>
      <c r="Q305">
        <v>190.2</v>
      </c>
      <c r="R305">
        <v>167</v>
      </c>
      <c r="S305">
        <v>162.6</v>
      </c>
      <c r="T305">
        <v>166.3</v>
      </c>
      <c r="V305">
        <v>163.1</v>
      </c>
      <c r="W305">
        <v>160.9</v>
      </c>
      <c r="X305">
        <v>171.1</v>
      </c>
      <c r="Y305">
        <v>157.69999999999999</v>
      </c>
      <c r="Z305">
        <v>161.1</v>
      </c>
      <c r="AA305">
        <v>167.5</v>
      </c>
      <c r="AB305">
        <v>160.30000000000001</v>
      </c>
      <c r="AC305">
        <v>163.30000000000001</v>
      </c>
      <c r="AD305">
        <v>163.6</v>
      </c>
    </row>
    <row r="306" spans="1:30" x14ac:dyDescent="0.25">
      <c r="A306" t="s">
        <v>30</v>
      </c>
      <c r="B306">
        <v>2021</v>
      </c>
      <c r="C306" t="s">
        <v>38</v>
      </c>
      <c r="D306">
        <v>149.30000000000001</v>
      </c>
      <c r="E306">
        <v>207.4</v>
      </c>
      <c r="F306">
        <v>174.1</v>
      </c>
      <c r="G306">
        <v>159.19999999999999</v>
      </c>
      <c r="H306">
        <v>175</v>
      </c>
      <c r="I306">
        <v>161.30000000000001</v>
      </c>
      <c r="J306">
        <v>183.3</v>
      </c>
      <c r="K306">
        <v>164.5</v>
      </c>
      <c r="L306">
        <v>120.4</v>
      </c>
      <c r="M306">
        <v>166.2</v>
      </c>
      <c r="N306">
        <v>154.80000000000001</v>
      </c>
      <c r="O306">
        <v>175.1</v>
      </c>
      <c r="P306">
        <v>167.3</v>
      </c>
      <c r="Q306">
        <v>196.5</v>
      </c>
      <c r="R306">
        <v>159.80000000000001</v>
      </c>
      <c r="S306">
        <v>143.6</v>
      </c>
      <c r="T306">
        <v>157.30000000000001</v>
      </c>
      <c r="U306">
        <v>162.1</v>
      </c>
      <c r="V306">
        <v>160.69999999999999</v>
      </c>
      <c r="W306">
        <v>153.19999999999999</v>
      </c>
      <c r="X306">
        <v>162.80000000000001</v>
      </c>
      <c r="Y306">
        <v>150.4</v>
      </c>
      <c r="Z306">
        <v>153.69999999999999</v>
      </c>
      <c r="AA306">
        <v>160.4</v>
      </c>
      <c r="AB306">
        <v>159.6</v>
      </c>
      <c r="AC306">
        <v>156</v>
      </c>
      <c r="AD306">
        <v>162.30000000000001</v>
      </c>
    </row>
    <row r="307" spans="1:30" x14ac:dyDescent="0.25">
      <c r="A307" t="s">
        <v>31</v>
      </c>
      <c r="B307">
        <v>2021</v>
      </c>
      <c r="C307" t="s">
        <v>38</v>
      </c>
      <c r="D307">
        <v>146.6</v>
      </c>
      <c r="E307">
        <v>204</v>
      </c>
      <c r="F307">
        <v>172.8</v>
      </c>
      <c r="G307">
        <v>158.4</v>
      </c>
      <c r="H307">
        <v>188</v>
      </c>
      <c r="I307">
        <v>156.80000000000001</v>
      </c>
      <c r="J307">
        <v>162.19999999999999</v>
      </c>
      <c r="K307">
        <v>164.1</v>
      </c>
      <c r="L307">
        <v>119.7</v>
      </c>
      <c r="M307">
        <v>168.8</v>
      </c>
      <c r="N307">
        <v>162.69999999999999</v>
      </c>
      <c r="O307">
        <v>173.9</v>
      </c>
      <c r="P307">
        <v>164</v>
      </c>
      <c r="Q307">
        <v>192.1</v>
      </c>
      <c r="R307">
        <v>164.5</v>
      </c>
      <c r="S307">
        <v>155.30000000000001</v>
      </c>
      <c r="T307">
        <v>163.19999999999999</v>
      </c>
      <c r="U307">
        <v>162.1</v>
      </c>
      <c r="V307">
        <v>162.6</v>
      </c>
      <c r="W307">
        <v>157.5</v>
      </c>
      <c r="X307">
        <v>168.4</v>
      </c>
      <c r="Y307">
        <v>154</v>
      </c>
      <c r="Z307">
        <v>157.6</v>
      </c>
      <c r="AA307">
        <v>163.80000000000001</v>
      </c>
      <c r="AB307">
        <v>160</v>
      </c>
      <c r="AC307">
        <v>160</v>
      </c>
      <c r="AD307">
        <v>163.19999999999999</v>
      </c>
    </row>
    <row r="308" spans="1:30" x14ac:dyDescent="0.25">
      <c r="A308" t="s">
        <v>28</v>
      </c>
      <c r="B308">
        <v>2021</v>
      </c>
      <c r="C308" t="s">
        <v>39</v>
      </c>
      <c r="D308">
        <v>145.4</v>
      </c>
      <c r="E308">
        <v>202.1</v>
      </c>
      <c r="F308">
        <v>172</v>
      </c>
      <c r="G308">
        <v>158</v>
      </c>
      <c r="H308">
        <v>195.5</v>
      </c>
      <c r="I308">
        <v>152.69999999999999</v>
      </c>
      <c r="J308">
        <v>151.4</v>
      </c>
      <c r="K308">
        <v>163.9</v>
      </c>
      <c r="L308">
        <v>119.3</v>
      </c>
      <c r="M308">
        <v>170.1</v>
      </c>
      <c r="N308">
        <v>168.3</v>
      </c>
      <c r="O308">
        <v>172.8</v>
      </c>
      <c r="P308">
        <v>162.1</v>
      </c>
      <c r="Q308">
        <v>190.5</v>
      </c>
      <c r="R308">
        <v>167.7</v>
      </c>
      <c r="S308">
        <v>163.6</v>
      </c>
      <c r="T308">
        <v>167.1</v>
      </c>
      <c r="V308">
        <v>163.69999999999999</v>
      </c>
      <c r="W308">
        <v>161.30000000000001</v>
      </c>
      <c r="X308">
        <v>171.9</v>
      </c>
      <c r="Y308">
        <v>157.80000000000001</v>
      </c>
      <c r="Z308">
        <v>162.69999999999999</v>
      </c>
      <c r="AA308">
        <v>168.5</v>
      </c>
      <c r="AB308">
        <v>160.19999999999999</v>
      </c>
      <c r="AC308">
        <v>163.80000000000001</v>
      </c>
      <c r="AD308">
        <v>164</v>
      </c>
    </row>
    <row r="309" spans="1:30" x14ac:dyDescent="0.25">
      <c r="A309" t="s">
        <v>30</v>
      </c>
      <c r="B309">
        <v>2021</v>
      </c>
      <c r="C309" t="s">
        <v>39</v>
      </c>
      <c r="D309">
        <v>149.30000000000001</v>
      </c>
      <c r="E309">
        <v>207.4</v>
      </c>
      <c r="F309">
        <v>174.1</v>
      </c>
      <c r="G309">
        <v>159.1</v>
      </c>
      <c r="H309">
        <v>175</v>
      </c>
      <c r="I309">
        <v>161.19999999999999</v>
      </c>
      <c r="J309">
        <v>183.5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157.4</v>
      </c>
      <c r="U309">
        <v>162.1</v>
      </c>
      <c r="V309">
        <v>160.80000000000001</v>
      </c>
      <c r="W309">
        <v>153.30000000000001</v>
      </c>
      <c r="X309">
        <v>162.80000000000001</v>
      </c>
      <c r="Y309">
        <v>150.5</v>
      </c>
      <c r="Z309">
        <v>153.9</v>
      </c>
      <c r="AA309">
        <v>160.30000000000001</v>
      </c>
      <c r="AB309">
        <v>159.6</v>
      </c>
      <c r="AC309">
        <v>156</v>
      </c>
      <c r="AD309">
        <v>162.30000000000001</v>
      </c>
    </row>
    <row r="310" spans="1:30" x14ac:dyDescent="0.25">
      <c r="A310" t="s">
        <v>31</v>
      </c>
      <c r="B310">
        <v>2021</v>
      </c>
      <c r="C310" t="s">
        <v>39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156.69999999999999</v>
      </c>
      <c r="J310">
        <v>162.30000000000001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164.6</v>
      </c>
      <c r="S310">
        <v>155.30000000000001</v>
      </c>
      <c r="T310">
        <v>163.30000000000001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157.69999999999999</v>
      </c>
      <c r="AA310">
        <v>163.69999999999999</v>
      </c>
      <c r="AB310">
        <v>160</v>
      </c>
      <c r="AC310">
        <v>160</v>
      </c>
      <c r="AD310">
        <v>163.19999999999999</v>
      </c>
    </row>
    <row r="311" spans="1:30" x14ac:dyDescent="0.25">
      <c r="A311" t="s">
        <v>28</v>
      </c>
      <c r="B311">
        <v>2021</v>
      </c>
      <c r="C311" t="s">
        <v>40</v>
      </c>
      <c r="D311">
        <v>146.1</v>
      </c>
      <c r="E311">
        <v>202.5</v>
      </c>
      <c r="F311">
        <v>170.1</v>
      </c>
      <c r="G311">
        <v>158.4</v>
      </c>
      <c r="H311">
        <v>198.8</v>
      </c>
      <c r="I311">
        <v>152.6</v>
      </c>
      <c r="J311">
        <v>170.4</v>
      </c>
      <c r="K311">
        <v>165.2</v>
      </c>
      <c r="L311">
        <v>121.6</v>
      </c>
      <c r="M311">
        <v>170.6</v>
      </c>
      <c r="N311">
        <v>168.8</v>
      </c>
      <c r="O311">
        <v>173.6</v>
      </c>
      <c r="P311">
        <v>165.5</v>
      </c>
      <c r="Q311">
        <v>191.2</v>
      </c>
      <c r="R311">
        <v>168.9</v>
      </c>
      <c r="S311">
        <v>164.8</v>
      </c>
      <c r="T311">
        <v>168.3</v>
      </c>
      <c r="V311">
        <v>165.5</v>
      </c>
      <c r="W311">
        <v>162</v>
      </c>
      <c r="X311">
        <v>172.5</v>
      </c>
      <c r="Y311">
        <v>159.5</v>
      </c>
      <c r="Z311">
        <v>163.19999999999999</v>
      </c>
      <c r="AA311">
        <v>169</v>
      </c>
      <c r="AB311">
        <v>161.1</v>
      </c>
      <c r="AC311">
        <v>164.7</v>
      </c>
      <c r="AD311">
        <v>166.3</v>
      </c>
    </row>
    <row r="312" spans="1:30" x14ac:dyDescent="0.25">
      <c r="A312" t="s">
        <v>30</v>
      </c>
      <c r="B312">
        <v>2021</v>
      </c>
      <c r="C312" t="s">
        <v>40</v>
      </c>
      <c r="D312">
        <v>150.1</v>
      </c>
      <c r="E312">
        <v>208.4</v>
      </c>
      <c r="F312">
        <v>173</v>
      </c>
      <c r="G312">
        <v>159.19999999999999</v>
      </c>
      <c r="H312">
        <v>176.6</v>
      </c>
      <c r="I312">
        <v>159.30000000000001</v>
      </c>
      <c r="J312">
        <v>214.4</v>
      </c>
      <c r="K312">
        <v>165.3</v>
      </c>
      <c r="L312">
        <v>122.5</v>
      </c>
      <c r="M312">
        <v>166.8</v>
      </c>
      <c r="N312">
        <v>155.4</v>
      </c>
      <c r="O312">
        <v>175.9</v>
      </c>
      <c r="P312">
        <v>171.5</v>
      </c>
      <c r="Q312">
        <v>197</v>
      </c>
      <c r="R312">
        <v>160.80000000000001</v>
      </c>
      <c r="S312">
        <v>144.4</v>
      </c>
      <c r="T312">
        <v>158.30000000000001</v>
      </c>
      <c r="U312">
        <v>163.6</v>
      </c>
      <c r="V312">
        <v>162.19999999999999</v>
      </c>
      <c r="W312">
        <v>154.30000000000001</v>
      </c>
      <c r="X312">
        <v>163.5</v>
      </c>
      <c r="Y312">
        <v>152.19999999999999</v>
      </c>
      <c r="Z312">
        <v>155.1</v>
      </c>
      <c r="AA312">
        <v>160.30000000000001</v>
      </c>
      <c r="AB312">
        <v>160.30000000000001</v>
      </c>
      <c r="AC312">
        <v>157</v>
      </c>
      <c r="AD312">
        <v>164.6</v>
      </c>
    </row>
    <row r="313" spans="1:30" x14ac:dyDescent="0.25">
      <c r="A313" t="s">
        <v>31</v>
      </c>
      <c r="B313">
        <v>2021</v>
      </c>
      <c r="C313" t="s">
        <v>40</v>
      </c>
      <c r="D313">
        <v>147.4</v>
      </c>
      <c r="E313">
        <v>204.6</v>
      </c>
      <c r="F313">
        <v>171.2</v>
      </c>
      <c r="G313">
        <v>158.69999999999999</v>
      </c>
      <c r="H313">
        <v>190.6</v>
      </c>
      <c r="I313">
        <v>155.69999999999999</v>
      </c>
      <c r="J313">
        <v>185.3</v>
      </c>
      <c r="K313">
        <v>165.2</v>
      </c>
      <c r="L313">
        <v>121.9</v>
      </c>
      <c r="M313">
        <v>169.3</v>
      </c>
      <c r="N313">
        <v>163.19999999999999</v>
      </c>
      <c r="O313">
        <v>174.7</v>
      </c>
      <c r="P313">
        <v>167.7</v>
      </c>
      <c r="Q313">
        <v>192.7</v>
      </c>
      <c r="R313">
        <v>165.7</v>
      </c>
      <c r="S313">
        <v>156.30000000000001</v>
      </c>
      <c r="T313">
        <v>164.3</v>
      </c>
      <c r="U313">
        <v>163.6</v>
      </c>
      <c r="V313">
        <v>164.2</v>
      </c>
      <c r="W313">
        <v>158.4</v>
      </c>
      <c r="X313">
        <v>169.1</v>
      </c>
      <c r="Y313">
        <v>155.69999999999999</v>
      </c>
      <c r="Z313">
        <v>158.6</v>
      </c>
      <c r="AA313">
        <v>163.9</v>
      </c>
      <c r="AB313">
        <v>160.80000000000001</v>
      </c>
      <c r="AC313">
        <v>161</v>
      </c>
      <c r="AD313">
        <v>165.5</v>
      </c>
    </row>
    <row r="314" spans="1:30" x14ac:dyDescent="0.25">
      <c r="A314" t="s">
        <v>28</v>
      </c>
      <c r="B314">
        <v>2021</v>
      </c>
      <c r="C314" t="s">
        <v>42</v>
      </c>
      <c r="D314">
        <v>146.9</v>
      </c>
      <c r="E314">
        <v>199.8</v>
      </c>
      <c r="F314">
        <v>171.5</v>
      </c>
      <c r="G314">
        <v>159.1</v>
      </c>
      <c r="H314">
        <v>198.4</v>
      </c>
      <c r="I314">
        <v>153.19999999999999</v>
      </c>
      <c r="J314">
        <v>183.9</v>
      </c>
      <c r="K314">
        <v>165.4</v>
      </c>
      <c r="L314">
        <v>122.1</v>
      </c>
      <c r="M314">
        <v>170.8</v>
      </c>
      <c r="N314">
        <v>169.1</v>
      </c>
      <c r="O314">
        <v>174.3</v>
      </c>
      <c r="P314">
        <v>167.5</v>
      </c>
      <c r="Q314">
        <v>191.4</v>
      </c>
      <c r="R314">
        <v>170.4</v>
      </c>
      <c r="S314">
        <v>166</v>
      </c>
      <c r="T314">
        <v>169.8</v>
      </c>
      <c r="V314">
        <v>165.3</v>
      </c>
      <c r="W314">
        <v>162.9</v>
      </c>
      <c r="X314">
        <v>173.4</v>
      </c>
      <c r="Y314">
        <v>158.9</v>
      </c>
      <c r="Z314">
        <v>163.80000000000001</v>
      </c>
      <c r="AA314">
        <v>169.3</v>
      </c>
      <c r="AB314">
        <v>162.4</v>
      </c>
      <c r="AC314">
        <v>165.2</v>
      </c>
      <c r="AD314">
        <v>167.6</v>
      </c>
    </row>
    <row r="315" spans="1:30" x14ac:dyDescent="0.25">
      <c r="A315" t="s">
        <v>30</v>
      </c>
      <c r="B315">
        <v>2021</v>
      </c>
      <c r="C315" t="s">
        <v>42</v>
      </c>
      <c r="D315">
        <v>151</v>
      </c>
      <c r="E315">
        <v>204.9</v>
      </c>
      <c r="F315">
        <v>175.4</v>
      </c>
      <c r="G315">
        <v>159.6</v>
      </c>
      <c r="H315">
        <v>175.8</v>
      </c>
      <c r="I315">
        <v>160.30000000000001</v>
      </c>
      <c r="J315">
        <v>229.1</v>
      </c>
      <c r="K315">
        <v>165.1</v>
      </c>
      <c r="L315">
        <v>123.1</v>
      </c>
      <c r="M315">
        <v>167.2</v>
      </c>
      <c r="N315">
        <v>156.1</v>
      </c>
      <c r="O315">
        <v>176.8</v>
      </c>
      <c r="P315">
        <v>173.5</v>
      </c>
      <c r="Q315">
        <v>197</v>
      </c>
      <c r="R315">
        <v>162.30000000000001</v>
      </c>
      <c r="S315">
        <v>145.30000000000001</v>
      </c>
      <c r="T315">
        <v>159.69999999999999</v>
      </c>
      <c r="U315">
        <v>164.2</v>
      </c>
      <c r="V315">
        <v>161.6</v>
      </c>
      <c r="W315">
        <v>155.19999999999999</v>
      </c>
      <c r="X315">
        <v>164.2</v>
      </c>
      <c r="Y315">
        <v>151.19999999999999</v>
      </c>
      <c r="Z315">
        <v>156.69999999999999</v>
      </c>
      <c r="AA315">
        <v>160.80000000000001</v>
      </c>
      <c r="AB315">
        <v>161.80000000000001</v>
      </c>
      <c r="AC315">
        <v>157.30000000000001</v>
      </c>
      <c r="AD315">
        <v>165.6</v>
      </c>
    </row>
    <row r="316" spans="1:30" x14ac:dyDescent="0.25">
      <c r="A316" t="s">
        <v>31</v>
      </c>
      <c r="B316">
        <v>2021</v>
      </c>
      <c r="C316" t="s">
        <v>42</v>
      </c>
      <c r="D316">
        <v>148.19999999999999</v>
      </c>
      <c r="E316">
        <v>201.6</v>
      </c>
      <c r="F316">
        <v>173</v>
      </c>
      <c r="G316">
        <v>159.30000000000001</v>
      </c>
      <c r="H316">
        <v>190.1</v>
      </c>
      <c r="I316">
        <v>156.5</v>
      </c>
      <c r="J316">
        <v>199.2</v>
      </c>
      <c r="K316">
        <v>165.3</v>
      </c>
      <c r="L316">
        <v>122.4</v>
      </c>
      <c r="M316">
        <v>169.6</v>
      </c>
      <c r="N316">
        <v>163.69999999999999</v>
      </c>
      <c r="O316">
        <v>175.5</v>
      </c>
      <c r="P316">
        <v>169.7</v>
      </c>
      <c r="Q316">
        <v>192.9</v>
      </c>
      <c r="R316">
        <v>167.2</v>
      </c>
      <c r="S316">
        <v>157.4</v>
      </c>
      <c r="T316">
        <v>165.8</v>
      </c>
      <c r="U316">
        <v>164.2</v>
      </c>
      <c r="V316">
        <v>163.9</v>
      </c>
      <c r="W316">
        <v>159.30000000000001</v>
      </c>
      <c r="X316">
        <v>169.9</v>
      </c>
      <c r="Y316">
        <v>154.80000000000001</v>
      </c>
      <c r="Z316">
        <v>159.80000000000001</v>
      </c>
      <c r="AA316">
        <v>164.3</v>
      </c>
      <c r="AB316">
        <v>162.19999999999999</v>
      </c>
      <c r="AC316">
        <v>161.4</v>
      </c>
      <c r="AD316">
        <v>166.7</v>
      </c>
    </row>
    <row r="317" spans="1:30" x14ac:dyDescent="0.25">
      <c r="A317" t="s">
        <v>28</v>
      </c>
      <c r="B317">
        <v>2021</v>
      </c>
      <c r="C317" t="s">
        <v>43</v>
      </c>
      <c r="D317">
        <v>147.4</v>
      </c>
      <c r="E317">
        <v>197</v>
      </c>
      <c r="F317">
        <v>176.5</v>
      </c>
      <c r="G317">
        <v>159.80000000000001</v>
      </c>
      <c r="H317">
        <v>195.8</v>
      </c>
      <c r="I317">
        <v>152</v>
      </c>
      <c r="J317">
        <v>172.3</v>
      </c>
      <c r="K317">
        <v>164.5</v>
      </c>
      <c r="L317">
        <v>120.6</v>
      </c>
      <c r="M317">
        <v>171.7</v>
      </c>
      <c r="N317">
        <v>169.7</v>
      </c>
      <c r="O317">
        <v>175.1</v>
      </c>
      <c r="P317">
        <v>165.8</v>
      </c>
      <c r="Q317">
        <v>190.8</v>
      </c>
      <c r="R317">
        <v>171.8</v>
      </c>
      <c r="S317">
        <v>167.3</v>
      </c>
      <c r="T317">
        <v>171.2</v>
      </c>
      <c r="V317">
        <v>165.6</v>
      </c>
      <c r="W317">
        <v>163.9</v>
      </c>
      <c r="X317">
        <v>174</v>
      </c>
      <c r="Y317">
        <v>160.1</v>
      </c>
      <c r="Z317">
        <v>164.5</v>
      </c>
      <c r="AA317">
        <v>169.7</v>
      </c>
      <c r="AB317">
        <v>162.80000000000001</v>
      </c>
      <c r="AC317">
        <v>166</v>
      </c>
      <c r="AD317">
        <v>167</v>
      </c>
    </row>
    <row r="318" spans="1:30" x14ac:dyDescent="0.25">
      <c r="A318" t="s">
        <v>30</v>
      </c>
      <c r="B318">
        <v>2021</v>
      </c>
      <c r="C318" t="s">
        <v>43</v>
      </c>
      <c r="D318">
        <v>151.6</v>
      </c>
      <c r="E318">
        <v>202.2</v>
      </c>
      <c r="F318">
        <v>180</v>
      </c>
      <c r="G318">
        <v>160</v>
      </c>
      <c r="H318">
        <v>173.5</v>
      </c>
      <c r="I318">
        <v>158.30000000000001</v>
      </c>
      <c r="J318">
        <v>219.5</v>
      </c>
      <c r="K318">
        <v>164.2</v>
      </c>
      <c r="L318">
        <v>121.9</v>
      </c>
      <c r="M318">
        <v>168.2</v>
      </c>
      <c r="N318">
        <v>156.5</v>
      </c>
      <c r="O318">
        <v>178.2</v>
      </c>
      <c r="P318">
        <v>172.2</v>
      </c>
      <c r="Q318">
        <v>196.8</v>
      </c>
      <c r="R318">
        <v>163.30000000000001</v>
      </c>
      <c r="S318">
        <v>146.69999999999999</v>
      </c>
      <c r="T318">
        <v>160.69999999999999</v>
      </c>
      <c r="U318">
        <v>163.4</v>
      </c>
      <c r="V318">
        <v>161.69999999999999</v>
      </c>
      <c r="W318">
        <v>156</v>
      </c>
      <c r="X318">
        <v>165.1</v>
      </c>
      <c r="Y318">
        <v>151.80000000000001</v>
      </c>
      <c r="Z318">
        <v>157.6</v>
      </c>
      <c r="AA318">
        <v>160.6</v>
      </c>
      <c r="AB318">
        <v>162.4</v>
      </c>
      <c r="AC318">
        <v>157.80000000000001</v>
      </c>
      <c r="AD318">
        <v>165.2</v>
      </c>
    </row>
    <row r="319" spans="1:30" x14ac:dyDescent="0.25">
      <c r="A319" t="s">
        <v>31</v>
      </c>
      <c r="B319">
        <v>2021</v>
      </c>
      <c r="C319" t="s">
        <v>43</v>
      </c>
      <c r="D319">
        <v>148.69999999999999</v>
      </c>
      <c r="E319">
        <v>198.8</v>
      </c>
      <c r="F319">
        <v>177.9</v>
      </c>
      <c r="G319">
        <v>159.9</v>
      </c>
      <c r="H319">
        <v>187.6</v>
      </c>
      <c r="I319">
        <v>154.9</v>
      </c>
      <c r="J319">
        <v>188.3</v>
      </c>
      <c r="K319">
        <v>164.4</v>
      </c>
      <c r="L319">
        <v>121</v>
      </c>
      <c r="M319">
        <v>170.5</v>
      </c>
      <c r="N319">
        <v>164.2</v>
      </c>
      <c r="O319">
        <v>176.5</v>
      </c>
      <c r="P319">
        <v>168.2</v>
      </c>
      <c r="Q319">
        <v>192.4</v>
      </c>
      <c r="R319">
        <v>168.5</v>
      </c>
      <c r="S319">
        <v>158.69999999999999</v>
      </c>
      <c r="T319">
        <v>167</v>
      </c>
      <c r="U319">
        <v>163.4</v>
      </c>
      <c r="V319">
        <v>164.1</v>
      </c>
      <c r="W319">
        <v>160.19999999999999</v>
      </c>
      <c r="X319">
        <v>170.6</v>
      </c>
      <c r="Y319">
        <v>155.69999999999999</v>
      </c>
      <c r="Z319">
        <v>160.6</v>
      </c>
      <c r="AA319">
        <v>164.4</v>
      </c>
      <c r="AB319">
        <v>162.6</v>
      </c>
      <c r="AC319">
        <v>162</v>
      </c>
      <c r="AD319">
        <v>166.2</v>
      </c>
    </row>
    <row r="320" spans="1:30" x14ac:dyDescent="0.25">
      <c r="A320" t="s">
        <v>28</v>
      </c>
      <c r="B320">
        <v>2022</v>
      </c>
      <c r="C320" t="s">
        <v>29</v>
      </c>
      <c r="D320">
        <v>148.30000000000001</v>
      </c>
      <c r="E320">
        <v>196.9</v>
      </c>
      <c r="F320">
        <v>178</v>
      </c>
      <c r="G320">
        <v>160.5</v>
      </c>
      <c r="H320">
        <v>192.6</v>
      </c>
      <c r="I320">
        <v>151.19999999999999</v>
      </c>
      <c r="J320">
        <v>159.19999999999999</v>
      </c>
      <c r="K320">
        <v>164</v>
      </c>
      <c r="L320">
        <v>119.3</v>
      </c>
      <c r="M320">
        <v>173.3</v>
      </c>
      <c r="N320">
        <v>169.8</v>
      </c>
      <c r="O320">
        <v>175.8</v>
      </c>
      <c r="P320">
        <v>164.1</v>
      </c>
      <c r="Q320">
        <v>190.7</v>
      </c>
      <c r="R320">
        <v>173.2</v>
      </c>
      <c r="S320">
        <v>169.3</v>
      </c>
      <c r="T320">
        <v>172.7</v>
      </c>
      <c r="V320">
        <v>165.8</v>
      </c>
      <c r="W320">
        <v>164.9</v>
      </c>
      <c r="X320">
        <v>174.7</v>
      </c>
      <c r="Y320">
        <v>160.80000000000001</v>
      </c>
      <c r="Z320">
        <v>164.9</v>
      </c>
      <c r="AA320">
        <v>169.9</v>
      </c>
      <c r="AB320">
        <v>163.19999999999999</v>
      </c>
      <c r="AC320">
        <v>166.6</v>
      </c>
      <c r="AD320">
        <v>166.4</v>
      </c>
    </row>
    <row r="321" spans="1:30" x14ac:dyDescent="0.25">
      <c r="A321" t="s">
        <v>30</v>
      </c>
      <c r="B321">
        <v>2022</v>
      </c>
      <c r="C321" t="s">
        <v>29</v>
      </c>
      <c r="D321">
        <v>152.19999999999999</v>
      </c>
      <c r="E321">
        <v>202.1</v>
      </c>
      <c r="F321">
        <v>180.1</v>
      </c>
      <c r="G321">
        <v>160.4</v>
      </c>
      <c r="H321">
        <v>171</v>
      </c>
      <c r="I321">
        <v>156.5</v>
      </c>
      <c r="J321">
        <v>203.6</v>
      </c>
      <c r="K321">
        <v>163.80000000000001</v>
      </c>
      <c r="L321">
        <v>121.3</v>
      </c>
      <c r="M321">
        <v>169.8</v>
      </c>
      <c r="N321">
        <v>156.6</v>
      </c>
      <c r="O321">
        <v>179</v>
      </c>
      <c r="P321">
        <v>170.3</v>
      </c>
      <c r="Q321">
        <v>196.4</v>
      </c>
      <c r="R321">
        <v>164.7</v>
      </c>
      <c r="S321">
        <v>148.5</v>
      </c>
      <c r="T321">
        <v>162.19999999999999</v>
      </c>
      <c r="U321">
        <v>164.5</v>
      </c>
      <c r="V321">
        <v>161.6</v>
      </c>
      <c r="W321">
        <v>156.80000000000001</v>
      </c>
      <c r="X321">
        <v>166.1</v>
      </c>
      <c r="Y321">
        <v>152.69999999999999</v>
      </c>
      <c r="Z321">
        <v>158.4</v>
      </c>
      <c r="AA321">
        <v>161</v>
      </c>
      <c r="AB321">
        <v>162.80000000000001</v>
      </c>
      <c r="AC321">
        <v>158.6</v>
      </c>
      <c r="AD321">
        <v>165</v>
      </c>
    </row>
    <row r="322" spans="1:30" x14ac:dyDescent="0.25">
      <c r="A322" t="s">
        <v>31</v>
      </c>
      <c r="B322">
        <v>2022</v>
      </c>
      <c r="C322" t="s">
        <v>29</v>
      </c>
      <c r="D322">
        <v>149.5</v>
      </c>
      <c r="E322">
        <v>198.7</v>
      </c>
      <c r="F322">
        <v>178.8</v>
      </c>
      <c r="G322">
        <v>160.5</v>
      </c>
      <c r="H322">
        <v>184.7</v>
      </c>
      <c r="I322">
        <v>153.69999999999999</v>
      </c>
      <c r="J322">
        <v>174.3</v>
      </c>
      <c r="K322">
        <v>163.9</v>
      </c>
      <c r="L322">
        <v>120</v>
      </c>
      <c r="M322">
        <v>172.1</v>
      </c>
      <c r="N322">
        <v>164.3</v>
      </c>
      <c r="O322">
        <v>177.3</v>
      </c>
      <c r="P322">
        <v>166.4</v>
      </c>
      <c r="Q322">
        <v>192.2</v>
      </c>
      <c r="R322">
        <v>169.9</v>
      </c>
      <c r="S322">
        <v>160.69999999999999</v>
      </c>
      <c r="T322">
        <v>168.5</v>
      </c>
      <c r="U322">
        <v>164.5</v>
      </c>
      <c r="V322">
        <v>164.2</v>
      </c>
      <c r="W322">
        <v>161.1</v>
      </c>
      <c r="X322">
        <v>171.4</v>
      </c>
      <c r="Y322">
        <v>156.5</v>
      </c>
      <c r="Z322">
        <v>161.19999999999999</v>
      </c>
      <c r="AA322">
        <v>164.7</v>
      </c>
      <c r="AB322">
        <v>163</v>
      </c>
      <c r="AC322">
        <v>162.69999999999999</v>
      </c>
      <c r="AD322">
        <v>165.7</v>
      </c>
    </row>
    <row r="323" spans="1:30" x14ac:dyDescent="0.25">
      <c r="A323" t="s">
        <v>28</v>
      </c>
      <c r="B323">
        <v>2022</v>
      </c>
      <c r="C323" t="s">
        <v>32</v>
      </c>
      <c r="D323">
        <v>148.80000000000001</v>
      </c>
      <c r="E323">
        <v>198.1</v>
      </c>
      <c r="F323">
        <v>175.5</v>
      </c>
      <c r="G323">
        <v>160.69999999999999</v>
      </c>
      <c r="H323">
        <v>192.6</v>
      </c>
      <c r="I323">
        <v>151.4</v>
      </c>
      <c r="J323">
        <v>155.19999999999999</v>
      </c>
      <c r="K323">
        <v>163.9</v>
      </c>
      <c r="L323">
        <v>118.1</v>
      </c>
      <c r="M323">
        <v>175.4</v>
      </c>
      <c r="N323">
        <v>170.5</v>
      </c>
      <c r="O323">
        <v>176.3</v>
      </c>
      <c r="P323">
        <v>163.9</v>
      </c>
      <c r="Q323">
        <v>191.5</v>
      </c>
      <c r="R323">
        <v>174.1</v>
      </c>
      <c r="S323">
        <v>171</v>
      </c>
      <c r="T323">
        <v>173.7</v>
      </c>
      <c r="V323">
        <v>167.4</v>
      </c>
      <c r="W323">
        <v>165.7</v>
      </c>
      <c r="X323">
        <v>175.3</v>
      </c>
      <c r="Y323">
        <v>161.19999999999999</v>
      </c>
      <c r="Z323">
        <v>165.5</v>
      </c>
      <c r="AA323">
        <v>170.3</v>
      </c>
      <c r="AB323">
        <v>164.5</v>
      </c>
      <c r="AC323">
        <v>167.3</v>
      </c>
      <c r="AD323">
        <v>166.7</v>
      </c>
    </row>
    <row r="324" spans="1:30" x14ac:dyDescent="0.25">
      <c r="A324" t="s">
        <v>30</v>
      </c>
      <c r="B324">
        <v>2022</v>
      </c>
      <c r="C324" t="s">
        <v>32</v>
      </c>
      <c r="D324">
        <v>152.5</v>
      </c>
      <c r="E324">
        <v>205.2</v>
      </c>
      <c r="F324">
        <v>176.4</v>
      </c>
      <c r="G324">
        <v>160.6</v>
      </c>
      <c r="H324">
        <v>171.5</v>
      </c>
      <c r="I324">
        <v>156.4</v>
      </c>
      <c r="J324">
        <v>198</v>
      </c>
      <c r="K324">
        <v>163.19999999999999</v>
      </c>
      <c r="L324">
        <v>120.6</v>
      </c>
      <c r="M324">
        <v>172.2</v>
      </c>
      <c r="N324">
        <v>156.69999999999999</v>
      </c>
      <c r="O324">
        <v>180</v>
      </c>
      <c r="P324">
        <v>170.2</v>
      </c>
      <c r="Q324">
        <v>196.5</v>
      </c>
      <c r="R324">
        <v>165.7</v>
      </c>
      <c r="S324">
        <v>150.4</v>
      </c>
      <c r="T324">
        <v>163.4</v>
      </c>
      <c r="U324">
        <v>165.5</v>
      </c>
      <c r="V324">
        <v>163</v>
      </c>
      <c r="W324">
        <v>157.4</v>
      </c>
      <c r="X324">
        <v>167.2</v>
      </c>
      <c r="Y324">
        <v>153.1</v>
      </c>
      <c r="Z324">
        <v>159.5</v>
      </c>
      <c r="AA324">
        <v>162</v>
      </c>
      <c r="AB324">
        <v>164.2</v>
      </c>
      <c r="AC324">
        <v>159.4</v>
      </c>
      <c r="AD324">
        <v>165.5</v>
      </c>
    </row>
    <row r="325" spans="1:30" x14ac:dyDescent="0.25">
      <c r="A325" t="s">
        <v>31</v>
      </c>
      <c r="B325">
        <v>2022</v>
      </c>
      <c r="C325" t="s">
        <v>32</v>
      </c>
      <c r="D325">
        <v>150</v>
      </c>
      <c r="E325">
        <v>200.6</v>
      </c>
      <c r="F325">
        <v>175.8</v>
      </c>
      <c r="G325">
        <v>160.69999999999999</v>
      </c>
      <c r="H325">
        <v>184.9</v>
      </c>
      <c r="I325">
        <v>153.69999999999999</v>
      </c>
      <c r="J325">
        <v>169.7</v>
      </c>
      <c r="K325">
        <v>163.69999999999999</v>
      </c>
      <c r="L325">
        <v>118.9</v>
      </c>
      <c r="M325">
        <v>174.3</v>
      </c>
      <c r="N325">
        <v>164.7</v>
      </c>
      <c r="O325">
        <v>178</v>
      </c>
      <c r="P325">
        <v>166.2</v>
      </c>
      <c r="Q325">
        <v>192.8</v>
      </c>
      <c r="R325">
        <v>170.8</v>
      </c>
      <c r="S325">
        <v>162.4</v>
      </c>
      <c r="T325">
        <v>169.6</v>
      </c>
      <c r="U325">
        <v>165.5</v>
      </c>
      <c r="V325">
        <v>165.7</v>
      </c>
      <c r="W325">
        <v>161.80000000000001</v>
      </c>
      <c r="X325">
        <v>172.2</v>
      </c>
      <c r="Y325">
        <v>156.9</v>
      </c>
      <c r="Z325">
        <v>162.1</v>
      </c>
      <c r="AA325">
        <v>165.4</v>
      </c>
      <c r="AB325">
        <v>164.4</v>
      </c>
      <c r="AC325">
        <v>163.5</v>
      </c>
      <c r="AD325">
        <v>166.1</v>
      </c>
    </row>
    <row r="326" spans="1:30" x14ac:dyDescent="0.25">
      <c r="A326" t="s">
        <v>28</v>
      </c>
      <c r="B326">
        <v>2022</v>
      </c>
      <c r="C326" t="s">
        <v>33</v>
      </c>
      <c r="D326">
        <v>150.19999999999999</v>
      </c>
      <c r="E326">
        <v>208</v>
      </c>
      <c r="F326">
        <v>167.9</v>
      </c>
      <c r="G326">
        <v>162</v>
      </c>
      <c r="H326">
        <v>203.1</v>
      </c>
      <c r="I326">
        <v>155.9</v>
      </c>
      <c r="J326">
        <v>155.80000000000001</v>
      </c>
      <c r="K326">
        <v>164.2</v>
      </c>
      <c r="L326">
        <v>118.1</v>
      </c>
      <c r="M326">
        <v>178.7</v>
      </c>
      <c r="N326">
        <v>171.2</v>
      </c>
      <c r="O326">
        <v>177.4</v>
      </c>
      <c r="P326">
        <v>166.6</v>
      </c>
      <c r="Q326">
        <v>192.3</v>
      </c>
      <c r="R326">
        <v>175.4</v>
      </c>
      <c r="S326">
        <v>173.2</v>
      </c>
      <c r="T326">
        <v>175.1</v>
      </c>
      <c r="V326">
        <v>168.9</v>
      </c>
      <c r="W326">
        <v>166.5</v>
      </c>
      <c r="X326">
        <v>176</v>
      </c>
      <c r="Y326">
        <v>162</v>
      </c>
      <c r="Z326">
        <v>166.6</v>
      </c>
      <c r="AA326">
        <v>170.6</v>
      </c>
      <c r="AB326">
        <v>167.4</v>
      </c>
      <c r="AC326">
        <v>168.3</v>
      </c>
      <c r="AD326">
        <v>168.7</v>
      </c>
    </row>
    <row r="327" spans="1:30" x14ac:dyDescent="0.25">
      <c r="A327" t="s">
        <v>30</v>
      </c>
      <c r="B327">
        <v>2022</v>
      </c>
      <c r="C327" t="s">
        <v>33</v>
      </c>
      <c r="D327">
        <v>153.69999999999999</v>
      </c>
      <c r="E327">
        <v>215.8</v>
      </c>
      <c r="F327">
        <v>167.7</v>
      </c>
      <c r="G327">
        <v>162.6</v>
      </c>
      <c r="H327">
        <v>180</v>
      </c>
      <c r="I327">
        <v>159.6</v>
      </c>
      <c r="J327">
        <v>188.4</v>
      </c>
      <c r="K327">
        <v>163.4</v>
      </c>
      <c r="L327">
        <v>120.3</v>
      </c>
      <c r="M327">
        <v>174.7</v>
      </c>
      <c r="N327">
        <v>157.1</v>
      </c>
      <c r="O327">
        <v>181.5</v>
      </c>
      <c r="P327">
        <v>171.5</v>
      </c>
      <c r="Q327">
        <v>197.5</v>
      </c>
      <c r="R327">
        <v>167.1</v>
      </c>
      <c r="S327">
        <v>152.6</v>
      </c>
      <c r="T327">
        <v>164.9</v>
      </c>
      <c r="U327">
        <v>165.3</v>
      </c>
      <c r="V327">
        <v>164.5</v>
      </c>
      <c r="W327">
        <v>158.6</v>
      </c>
      <c r="X327">
        <v>168.2</v>
      </c>
      <c r="Y327">
        <v>154.19999999999999</v>
      </c>
      <c r="Z327">
        <v>160.80000000000001</v>
      </c>
      <c r="AA327">
        <v>162.69999999999999</v>
      </c>
      <c r="AB327">
        <v>166.8</v>
      </c>
      <c r="AC327">
        <v>160.6</v>
      </c>
      <c r="AD327">
        <v>166.5</v>
      </c>
    </row>
    <row r="328" spans="1:30" x14ac:dyDescent="0.25">
      <c r="A328" t="s">
        <v>31</v>
      </c>
      <c r="B328">
        <v>2022</v>
      </c>
      <c r="C328" t="s">
        <v>33</v>
      </c>
      <c r="D328">
        <v>151.30000000000001</v>
      </c>
      <c r="E328">
        <v>210.7</v>
      </c>
      <c r="F328">
        <v>167.8</v>
      </c>
      <c r="G328">
        <v>162.19999999999999</v>
      </c>
      <c r="H328">
        <v>194.6</v>
      </c>
      <c r="I328">
        <v>157.6</v>
      </c>
      <c r="J328">
        <v>166.9</v>
      </c>
      <c r="K328">
        <v>163.9</v>
      </c>
      <c r="L328">
        <v>118.8</v>
      </c>
      <c r="M328">
        <v>177.4</v>
      </c>
      <c r="N328">
        <v>165.3</v>
      </c>
      <c r="O328">
        <v>179.3</v>
      </c>
      <c r="P328">
        <v>168.4</v>
      </c>
      <c r="Q328">
        <v>193.7</v>
      </c>
      <c r="R328">
        <v>172.1</v>
      </c>
      <c r="S328">
        <v>164.6</v>
      </c>
      <c r="T328">
        <v>171.1</v>
      </c>
      <c r="U328">
        <v>165.3</v>
      </c>
      <c r="V328">
        <v>167.2</v>
      </c>
      <c r="W328">
        <v>162.80000000000001</v>
      </c>
      <c r="X328">
        <v>173</v>
      </c>
      <c r="Y328">
        <v>157.9</v>
      </c>
      <c r="Z328">
        <v>163.30000000000001</v>
      </c>
      <c r="AA328">
        <v>166</v>
      </c>
      <c r="AB328">
        <v>167.2</v>
      </c>
      <c r="AC328">
        <v>164.6</v>
      </c>
      <c r="AD328">
        <v>167.7</v>
      </c>
    </row>
    <row r="329" spans="1:30" x14ac:dyDescent="0.25">
      <c r="A329" t="s">
        <v>28</v>
      </c>
      <c r="B329">
        <v>2022</v>
      </c>
      <c r="C329" t="s">
        <v>34</v>
      </c>
      <c r="D329">
        <v>151.80000000000001</v>
      </c>
      <c r="E329">
        <v>209.7</v>
      </c>
      <c r="F329">
        <v>164.5</v>
      </c>
      <c r="G329">
        <v>163.80000000000001</v>
      </c>
      <c r="H329">
        <v>207.4</v>
      </c>
      <c r="I329">
        <v>169.7</v>
      </c>
      <c r="J329">
        <v>153.6</v>
      </c>
      <c r="K329">
        <v>165.1</v>
      </c>
      <c r="L329">
        <v>118.2</v>
      </c>
      <c r="M329">
        <v>182.9</v>
      </c>
      <c r="N329">
        <v>172.4</v>
      </c>
      <c r="O329">
        <v>178.9</v>
      </c>
      <c r="P329">
        <v>168.6</v>
      </c>
      <c r="Q329">
        <v>192.8</v>
      </c>
      <c r="R329">
        <v>177.5</v>
      </c>
      <c r="S329">
        <v>175.1</v>
      </c>
      <c r="T329">
        <v>177.1</v>
      </c>
      <c r="V329">
        <v>173.3</v>
      </c>
      <c r="W329">
        <v>167.7</v>
      </c>
      <c r="X329">
        <v>177</v>
      </c>
      <c r="Y329">
        <v>166.2</v>
      </c>
      <c r="Z329">
        <v>167.2</v>
      </c>
      <c r="AA329">
        <v>170.9</v>
      </c>
      <c r="AB329">
        <v>169</v>
      </c>
      <c r="AC329">
        <v>170.2</v>
      </c>
      <c r="AD329">
        <v>170.8</v>
      </c>
    </row>
    <row r="330" spans="1:30" x14ac:dyDescent="0.25">
      <c r="A330" t="s">
        <v>30</v>
      </c>
      <c r="B330">
        <v>2022</v>
      </c>
      <c r="C330" t="s">
        <v>34</v>
      </c>
      <c r="D330">
        <v>155.4</v>
      </c>
      <c r="E330">
        <v>215.8</v>
      </c>
      <c r="F330">
        <v>164.6</v>
      </c>
      <c r="G330">
        <v>164.2</v>
      </c>
      <c r="H330">
        <v>186</v>
      </c>
      <c r="I330">
        <v>175.9</v>
      </c>
      <c r="J330">
        <v>190.7</v>
      </c>
      <c r="K330">
        <v>164</v>
      </c>
      <c r="L330">
        <v>120.5</v>
      </c>
      <c r="M330">
        <v>178</v>
      </c>
      <c r="N330">
        <v>157.5</v>
      </c>
      <c r="O330">
        <v>183.3</v>
      </c>
      <c r="P330">
        <v>174.5</v>
      </c>
      <c r="Q330">
        <v>197.1</v>
      </c>
      <c r="R330">
        <v>168.4</v>
      </c>
      <c r="S330">
        <v>154.5</v>
      </c>
      <c r="T330">
        <v>166.3</v>
      </c>
      <c r="U330">
        <v>167</v>
      </c>
      <c r="V330">
        <v>170.5</v>
      </c>
      <c r="W330">
        <v>159.80000000000001</v>
      </c>
      <c r="X330">
        <v>169</v>
      </c>
      <c r="Y330">
        <v>159.30000000000001</v>
      </c>
      <c r="Z330">
        <v>162.19999999999999</v>
      </c>
      <c r="AA330">
        <v>164</v>
      </c>
      <c r="AB330">
        <v>168.4</v>
      </c>
      <c r="AC330">
        <v>163.1</v>
      </c>
      <c r="AD330">
        <v>169.2</v>
      </c>
    </row>
    <row r="331" spans="1:30" x14ac:dyDescent="0.25">
      <c r="A331" t="s">
        <v>31</v>
      </c>
      <c r="B331">
        <v>2022</v>
      </c>
      <c r="C331" t="s">
        <v>34</v>
      </c>
      <c r="D331">
        <v>152.9</v>
      </c>
      <c r="E331">
        <v>211.8</v>
      </c>
      <c r="F331">
        <v>164.5</v>
      </c>
      <c r="G331">
        <v>163.9</v>
      </c>
      <c r="H331">
        <v>199.5</v>
      </c>
      <c r="I331">
        <v>172.6</v>
      </c>
      <c r="J331">
        <v>166.2</v>
      </c>
      <c r="K331">
        <v>164.7</v>
      </c>
      <c r="L331">
        <v>119</v>
      </c>
      <c r="M331">
        <v>181.3</v>
      </c>
      <c r="N331">
        <v>166.2</v>
      </c>
      <c r="O331">
        <v>180.9</v>
      </c>
      <c r="P331">
        <v>170.8</v>
      </c>
      <c r="Q331">
        <v>193.9</v>
      </c>
      <c r="R331">
        <v>173.9</v>
      </c>
      <c r="S331">
        <v>166.5</v>
      </c>
      <c r="T331">
        <v>172.8</v>
      </c>
      <c r="U331">
        <v>167</v>
      </c>
      <c r="V331">
        <v>172.2</v>
      </c>
      <c r="W331">
        <v>164</v>
      </c>
      <c r="X331">
        <v>174</v>
      </c>
      <c r="Y331">
        <v>162.6</v>
      </c>
      <c r="Z331">
        <v>164.4</v>
      </c>
      <c r="AA331">
        <v>166.9</v>
      </c>
      <c r="AB331">
        <v>168.8</v>
      </c>
      <c r="AC331">
        <v>166.8</v>
      </c>
      <c r="AD331">
        <v>170.1</v>
      </c>
    </row>
    <row r="332" spans="1:30" x14ac:dyDescent="0.25">
      <c r="A332" t="s">
        <v>28</v>
      </c>
      <c r="B332">
        <v>2022</v>
      </c>
      <c r="C332" t="s">
        <v>35</v>
      </c>
      <c r="D332">
        <v>152.9</v>
      </c>
      <c r="E332">
        <v>214.7</v>
      </c>
      <c r="F332">
        <v>161.4</v>
      </c>
      <c r="G332">
        <v>164.6</v>
      </c>
      <c r="H332">
        <v>209.9</v>
      </c>
      <c r="I332">
        <v>168</v>
      </c>
      <c r="J332">
        <v>160.4</v>
      </c>
      <c r="K332">
        <v>165</v>
      </c>
      <c r="L332">
        <v>118.9</v>
      </c>
      <c r="M332">
        <v>186.6</v>
      </c>
      <c r="N332">
        <v>173.2</v>
      </c>
      <c r="O332">
        <v>180.4</v>
      </c>
      <c r="P332">
        <v>170.8</v>
      </c>
      <c r="Q332">
        <v>192.9</v>
      </c>
      <c r="R332">
        <v>179.3</v>
      </c>
      <c r="S332">
        <v>177.2</v>
      </c>
      <c r="T332">
        <v>179</v>
      </c>
      <c r="V332">
        <v>175.3</v>
      </c>
      <c r="W332">
        <v>168.9</v>
      </c>
      <c r="X332">
        <v>177.7</v>
      </c>
      <c r="Y332">
        <v>167.1</v>
      </c>
      <c r="Z332">
        <v>167.6</v>
      </c>
      <c r="AA332">
        <v>171.8</v>
      </c>
      <c r="AB332">
        <v>168.5</v>
      </c>
      <c r="AC332">
        <v>170.9</v>
      </c>
      <c r="AD332">
        <v>172.5</v>
      </c>
    </row>
    <row r="333" spans="1:30" x14ac:dyDescent="0.25">
      <c r="A333" t="s">
        <v>30</v>
      </c>
      <c r="B333">
        <v>2022</v>
      </c>
      <c r="C333" t="s">
        <v>35</v>
      </c>
      <c r="D333">
        <v>156.69999999999999</v>
      </c>
      <c r="E333">
        <v>221.2</v>
      </c>
      <c r="F333">
        <v>164.1</v>
      </c>
      <c r="G333">
        <v>165.4</v>
      </c>
      <c r="H333">
        <v>189.5</v>
      </c>
      <c r="I333">
        <v>174.5</v>
      </c>
      <c r="J333">
        <v>203.2</v>
      </c>
      <c r="K333">
        <v>164.1</v>
      </c>
      <c r="L333">
        <v>121.2</v>
      </c>
      <c r="M333">
        <v>181.4</v>
      </c>
      <c r="N333">
        <v>158.5</v>
      </c>
      <c r="O333">
        <v>184.9</v>
      </c>
      <c r="P333">
        <v>177.5</v>
      </c>
      <c r="Q333">
        <v>197.5</v>
      </c>
      <c r="R333">
        <v>170</v>
      </c>
      <c r="S333">
        <v>155.9</v>
      </c>
      <c r="T333">
        <v>167.8</v>
      </c>
      <c r="U333">
        <v>167.5</v>
      </c>
      <c r="V333">
        <v>173.5</v>
      </c>
      <c r="W333">
        <v>161.1</v>
      </c>
      <c r="X333">
        <v>170.1</v>
      </c>
      <c r="Y333">
        <v>159.4</v>
      </c>
      <c r="Z333">
        <v>163.19999999999999</v>
      </c>
      <c r="AA333">
        <v>165.2</v>
      </c>
      <c r="AB333">
        <v>168.2</v>
      </c>
      <c r="AC333">
        <v>163.80000000000001</v>
      </c>
      <c r="AD333">
        <v>170.8</v>
      </c>
    </row>
    <row r="334" spans="1:30" x14ac:dyDescent="0.25">
      <c r="A334" t="s">
        <v>31</v>
      </c>
      <c r="B334">
        <v>2022</v>
      </c>
      <c r="C334" t="s">
        <v>35</v>
      </c>
      <c r="D334">
        <v>154.1</v>
      </c>
      <c r="E334">
        <v>217</v>
      </c>
      <c r="F334">
        <v>162.4</v>
      </c>
      <c r="G334">
        <v>164.9</v>
      </c>
      <c r="H334">
        <v>202.4</v>
      </c>
      <c r="I334">
        <v>171</v>
      </c>
      <c r="J334">
        <v>174.9</v>
      </c>
      <c r="K334">
        <v>164.7</v>
      </c>
      <c r="L334">
        <v>119.7</v>
      </c>
      <c r="M334">
        <v>184.9</v>
      </c>
      <c r="N334">
        <v>167.1</v>
      </c>
      <c r="O334">
        <v>182.5</v>
      </c>
      <c r="P334">
        <v>173.3</v>
      </c>
      <c r="Q334">
        <v>194.1</v>
      </c>
      <c r="R334">
        <v>175.6</v>
      </c>
      <c r="S334">
        <v>168.4</v>
      </c>
      <c r="T334">
        <v>174.6</v>
      </c>
      <c r="U334">
        <v>167.5</v>
      </c>
      <c r="V334">
        <v>174.6</v>
      </c>
      <c r="W334">
        <v>165.2</v>
      </c>
      <c r="X334">
        <v>174.8</v>
      </c>
      <c r="Y334">
        <v>163</v>
      </c>
      <c r="Z334">
        <v>165.1</v>
      </c>
      <c r="AA334">
        <v>167.9</v>
      </c>
      <c r="AB334">
        <v>168.4</v>
      </c>
      <c r="AC334">
        <v>167.5</v>
      </c>
      <c r="AD334">
        <v>171.7</v>
      </c>
    </row>
    <row r="335" spans="1:30" x14ac:dyDescent="0.25">
      <c r="A335" t="s">
        <v>28</v>
      </c>
      <c r="B335">
        <v>2022</v>
      </c>
      <c r="C335" t="s">
        <v>36</v>
      </c>
      <c r="D335">
        <v>153.80000000000001</v>
      </c>
      <c r="E335">
        <v>217.2</v>
      </c>
      <c r="F335">
        <v>169.6</v>
      </c>
      <c r="G335">
        <v>165.4</v>
      </c>
      <c r="H335">
        <v>208.1</v>
      </c>
      <c r="I335">
        <v>165.8</v>
      </c>
      <c r="J335">
        <v>167.3</v>
      </c>
      <c r="K335">
        <v>164.6</v>
      </c>
      <c r="L335">
        <v>119.1</v>
      </c>
      <c r="M335">
        <v>188.9</v>
      </c>
      <c r="N335">
        <v>174.2</v>
      </c>
      <c r="O335">
        <v>181.9</v>
      </c>
      <c r="P335">
        <v>172.4</v>
      </c>
      <c r="Q335">
        <v>192.9</v>
      </c>
      <c r="R335">
        <v>180.7</v>
      </c>
      <c r="S335">
        <v>178.7</v>
      </c>
      <c r="T335">
        <v>180.4</v>
      </c>
      <c r="V335">
        <v>176.7</v>
      </c>
      <c r="W335">
        <v>170.3</v>
      </c>
      <c r="X335">
        <v>178.2</v>
      </c>
      <c r="Y335">
        <v>165.5</v>
      </c>
      <c r="Z335">
        <v>168</v>
      </c>
      <c r="AA335">
        <v>172.6</v>
      </c>
      <c r="AB335">
        <v>169.5</v>
      </c>
      <c r="AC335">
        <v>171</v>
      </c>
      <c r="AD335">
        <v>173.6</v>
      </c>
    </row>
    <row r="336" spans="1:30" x14ac:dyDescent="0.25">
      <c r="A336" t="s">
        <v>30</v>
      </c>
      <c r="B336">
        <v>2022</v>
      </c>
      <c r="C336" t="s">
        <v>36</v>
      </c>
      <c r="D336">
        <v>157.5</v>
      </c>
      <c r="E336">
        <v>223.4</v>
      </c>
      <c r="F336">
        <v>172.8</v>
      </c>
      <c r="G336">
        <v>166.4</v>
      </c>
      <c r="H336">
        <v>188.6</v>
      </c>
      <c r="I336">
        <v>174.1</v>
      </c>
      <c r="J336">
        <v>211.5</v>
      </c>
      <c r="K336">
        <v>163.6</v>
      </c>
      <c r="L336">
        <v>121.4</v>
      </c>
      <c r="M336">
        <v>183.5</v>
      </c>
      <c r="N336">
        <v>159.1</v>
      </c>
      <c r="O336">
        <v>186.3</v>
      </c>
      <c r="P336">
        <v>179.3</v>
      </c>
      <c r="Q336">
        <v>198.3</v>
      </c>
      <c r="R336">
        <v>171.6</v>
      </c>
      <c r="S336">
        <v>157.4</v>
      </c>
      <c r="T336">
        <v>169.4</v>
      </c>
      <c r="U336">
        <v>166.8</v>
      </c>
      <c r="V336">
        <v>174.9</v>
      </c>
      <c r="W336">
        <v>162.1</v>
      </c>
      <c r="X336">
        <v>170.9</v>
      </c>
      <c r="Y336">
        <v>157.19999999999999</v>
      </c>
      <c r="Z336">
        <v>164.1</v>
      </c>
      <c r="AA336">
        <v>166.5</v>
      </c>
      <c r="AB336">
        <v>169.2</v>
      </c>
      <c r="AC336">
        <v>163.80000000000001</v>
      </c>
      <c r="AD336">
        <v>171.4</v>
      </c>
    </row>
    <row r="337" spans="1:30" x14ac:dyDescent="0.25">
      <c r="A337" t="s">
        <v>31</v>
      </c>
      <c r="B337">
        <v>2022</v>
      </c>
      <c r="C337" t="s">
        <v>36</v>
      </c>
      <c r="D337">
        <v>155</v>
      </c>
      <c r="E337">
        <v>219.4</v>
      </c>
      <c r="F337">
        <v>170.8</v>
      </c>
      <c r="G337">
        <v>165.8</v>
      </c>
      <c r="H337">
        <v>200.9</v>
      </c>
      <c r="I337">
        <v>169.7</v>
      </c>
      <c r="J337">
        <v>182.3</v>
      </c>
      <c r="K337">
        <v>164.3</v>
      </c>
      <c r="L337">
        <v>119.9</v>
      </c>
      <c r="M337">
        <v>187.1</v>
      </c>
      <c r="N337">
        <v>167.9</v>
      </c>
      <c r="O337">
        <v>183.9</v>
      </c>
      <c r="P337">
        <v>174.9</v>
      </c>
      <c r="Q337">
        <v>194.3</v>
      </c>
      <c r="R337">
        <v>177.1</v>
      </c>
      <c r="S337">
        <v>169.9</v>
      </c>
      <c r="T337">
        <v>176</v>
      </c>
      <c r="U337">
        <v>166.8</v>
      </c>
      <c r="V337">
        <v>176</v>
      </c>
      <c r="W337">
        <v>166.4</v>
      </c>
      <c r="X337">
        <v>175.4</v>
      </c>
      <c r="Y337">
        <v>161.1</v>
      </c>
      <c r="Z337">
        <v>165.8</v>
      </c>
      <c r="AA337">
        <v>169</v>
      </c>
      <c r="AB337">
        <v>169.4</v>
      </c>
      <c r="AC337">
        <v>167.5</v>
      </c>
      <c r="AD337">
        <v>172.6</v>
      </c>
    </row>
    <row r="338" spans="1:30" x14ac:dyDescent="0.25">
      <c r="A338" t="s">
        <v>28</v>
      </c>
      <c r="B338">
        <v>2022</v>
      </c>
      <c r="C338" t="s">
        <v>37</v>
      </c>
      <c r="D338">
        <v>155.19999999999999</v>
      </c>
      <c r="E338">
        <v>210.8</v>
      </c>
      <c r="F338">
        <v>174.3</v>
      </c>
      <c r="G338">
        <v>166.3</v>
      </c>
      <c r="H338">
        <v>202.2</v>
      </c>
      <c r="I338">
        <v>169.6</v>
      </c>
      <c r="J338">
        <v>168.6</v>
      </c>
      <c r="K338">
        <v>164.4</v>
      </c>
      <c r="L338">
        <v>119.2</v>
      </c>
      <c r="M338">
        <v>191.8</v>
      </c>
      <c r="N338">
        <v>174.5</v>
      </c>
      <c r="O338">
        <v>183.1</v>
      </c>
      <c r="P338">
        <v>172.5</v>
      </c>
      <c r="Q338">
        <v>193.2</v>
      </c>
      <c r="R338">
        <v>182</v>
      </c>
      <c r="S338">
        <v>180.3</v>
      </c>
      <c r="T338">
        <v>181.7</v>
      </c>
      <c r="V338">
        <v>179.6</v>
      </c>
      <c r="W338">
        <v>171.3</v>
      </c>
      <c r="X338">
        <v>178.8</v>
      </c>
      <c r="Y338">
        <v>166.3</v>
      </c>
      <c r="Z338">
        <v>168.6</v>
      </c>
      <c r="AA338">
        <v>174.7</v>
      </c>
      <c r="AB338">
        <v>169.7</v>
      </c>
      <c r="AC338">
        <v>171.8</v>
      </c>
      <c r="AD338">
        <v>174.3</v>
      </c>
    </row>
    <row r="339" spans="1:30" x14ac:dyDescent="0.25">
      <c r="A339" t="s">
        <v>30</v>
      </c>
      <c r="B339">
        <v>2022</v>
      </c>
      <c r="C339" t="s">
        <v>37</v>
      </c>
      <c r="D339">
        <v>159.30000000000001</v>
      </c>
      <c r="E339">
        <v>217.1</v>
      </c>
      <c r="F339">
        <v>176.6</v>
      </c>
      <c r="G339">
        <v>167.1</v>
      </c>
      <c r="H339">
        <v>184.8</v>
      </c>
      <c r="I339">
        <v>179.5</v>
      </c>
      <c r="J339">
        <v>208.5</v>
      </c>
      <c r="K339">
        <v>164</v>
      </c>
      <c r="L339">
        <v>121.5</v>
      </c>
      <c r="M339">
        <v>186.3</v>
      </c>
      <c r="N339">
        <v>159.80000000000001</v>
      </c>
      <c r="O339">
        <v>187.7</v>
      </c>
      <c r="P339">
        <v>179.4</v>
      </c>
      <c r="Q339">
        <v>198.6</v>
      </c>
      <c r="R339">
        <v>172.7</v>
      </c>
      <c r="S339">
        <v>158.69999999999999</v>
      </c>
      <c r="T339">
        <v>170.6</v>
      </c>
      <c r="U339">
        <v>167.8</v>
      </c>
      <c r="V339">
        <v>179.5</v>
      </c>
      <c r="W339">
        <v>163.1</v>
      </c>
      <c r="X339">
        <v>171.7</v>
      </c>
      <c r="Y339">
        <v>157.4</v>
      </c>
      <c r="Z339">
        <v>164.6</v>
      </c>
      <c r="AA339">
        <v>169.1</v>
      </c>
      <c r="AB339">
        <v>169.8</v>
      </c>
      <c r="AC339">
        <v>164.7</v>
      </c>
      <c r="AD339">
        <v>172.3</v>
      </c>
    </row>
    <row r="340" spans="1:30" x14ac:dyDescent="0.25">
      <c r="A340" t="s">
        <v>31</v>
      </c>
      <c r="B340">
        <v>2022</v>
      </c>
      <c r="C340" t="s">
        <v>37</v>
      </c>
      <c r="D340">
        <v>156.5</v>
      </c>
      <c r="E340">
        <v>213</v>
      </c>
      <c r="F340">
        <v>175.2</v>
      </c>
      <c r="G340">
        <v>166.6</v>
      </c>
      <c r="H340">
        <v>195.8</v>
      </c>
      <c r="I340">
        <v>174.2</v>
      </c>
      <c r="J340">
        <v>182.1</v>
      </c>
      <c r="K340">
        <v>164.3</v>
      </c>
      <c r="L340">
        <v>120</v>
      </c>
      <c r="M340">
        <v>190</v>
      </c>
      <c r="N340">
        <v>168.4</v>
      </c>
      <c r="O340">
        <v>185.2</v>
      </c>
      <c r="P340">
        <v>175</v>
      </c>
      <c r="Q340">
        <v>194.6</v>
      </c>
      <c r="R340">
        <v>178.3</v>
      </c>
      <c r="S340">
        <v>171.3</v>
      </c>
      <c r="T340">
        <v>177.3</v>
      </c>
      <c r="U340">
        <v>167.8</v>
      </c>
      <c r="V340">
        <v>179.6</v>
      </c>
      <c r="W340">
        <v>167.4</v>
      </c>
      <c r="X340">
        <v>176.1</v>
      </c>
      <c r="Y340">
        <v>161.6</v>
      </c>
      <c r="Z340">
        <v>166.3</v>
      </c>
      <c r="AA340">
        <v>171.4</v>
      </c>
      <c r="AB340">
        <v>169.7</v>
      </c>
      <c r="AC340">
        <v>168.4</v>
      </c>
      <c r="AD340">
        <v>173.4</v>
      </c>
    </row>
    <row r="341" spans="1:30" x14ac:dyDescent="0.25">
      <c r="A341" t="s">
        <v>28</v>
      </c>
      <c r="B341">
        <v>2022</v>
      </c>
      <c r="C341" t="s">
        <v>38</v>
      </c>
      <c r="D341">
        <v>159.5</v>
      </c>
      <c r="E341">
        <v>204.1</v>
      </c>
      <c r="F341">
        <v>168.3</v>
      </c>
      <c r="G341">
        <v>167.9</v>
      </c>
      <c r="H341">
        <v>198.1</v>
      </c>
      <c r="I341">
        <v>169.2</v>
      </c>
      <c r="J341">
        <v>173.1</v>
      </c>
      <c r="K341">
        <v>167.1</v>
      </c>
      <c r="L341">
        <v>120.2</v>
      </c>
      <c r="M341">
        <v>195.6</v>
      </c>
      <c r="N341">
        <v>174.8</v>
      </c>
      <c r="O341">
        <v>184</v>
      </c>
      <c r="P341">
        <v>173.9</v>
      </c>
      <c r="Q341">
        <v>193.7</v>
      </c>
      <c r="R341">
        <v>183.2</v>
      </c>
      <c r="S341">
        <v>181.7</v>
      </c>
      <c r="T341">
        <v>183</v>
      </c>
      <c r="V341">
        <v>179.1</v>
      </c>
      <c r="W341">
        <v>172.3</v>
      </c>
      <c r="X341">
        <v>179.4</v>
      </c>
      <c r="Y341">
        <v>166.6</v>
      </c>
      <c r="Z341">
        <v>169.3</v>
      </c>
      <c r="AA341">
        <v>175.7</v>
      </c>
      <c r="AB341">
        <v>171.1</v>
      </c>
      <c r="AC341">
        <v>172.6</v>
      </c>
      <c r="AD341">
        <v>175.3</v>
      </c>
    </row>
    <row r="342" spans="1:30" x14ac:dyDescent="0.25">
      <c r="A342" t="s">
        <v>30</v>
      </c>
      <c r="B342">
        <v>2022</v>
      </c>
      <c r="C342" t="s">
        <v>38</v>
      </c>
      <c r="D342">
        <v>162.1</v>
      </c>
      <c r="E342">
        <v>210.9</v>
      </c>
      <c r="F342">
        <v>170.6</v>
      </c>
      <c r="G342">
        <v>168.4</v>
      </c>
      <c r="H342">
        <v>182.5</v>
      </c>
      <c r="I342">
        <v>177.1</v>
      </c>
      <c r="J342">
        <v>213.1</v>
      </c>
      <c r="K342">
        <v>167.3</v>
      </c>
      <c r="L342">
        <v>122.2</v>
      </c>
      <c r="M342">
        <v>189.7</v>
      </c>
      <c r="N342">
        <v>160.5</v>
      </c>
      <c r="O342">
        <v>188.9</v>
      </c>
      <c r="P342">
        <v>180.4</v>
      </c>
      <c r="Q342">
        <v>198.7</v>
      </c>
      <c r="R342">
        <v>173.7</v>
      </c>
      <c r="S342">
        <v>160</v>
      </c>
      <c r="T342">
        <v>171.6</v>
      </c>
      <c r="U342">
        <v>169</v>
      </c>
      <c r="V342">
        <v>178.4</v>
      </c>
      <c r="W342">
        <v>164.2</v>
      </c>
      <c r="X342">
        <v>172.6</v>
      </c>
      <c r="Y342">
        <v>157.69999999999999</v>
      </c>
      <c r="Z342">
        <v>165.1</v>
      </c>
      <c r="AA342">
        <v>169.9</v>
      </c>
      <c r="AB342">
        <v>171.4</v>
      </c>
      <c r="AC342">
        <v>165.4</v>
      </c>
      <c r="AD342">
        <v>173.1</v>
      </c>
    </row>
    <row r="343" spans="1:30" x14ac:dyDescent="0.25">
      <c r="A343" t="s">
        <v>31</v>
      </c>
      <c r="B343">
        <v>2022</v>
      </c>
      <c r="C343" t="s">
        <v>38</v>
      </c>
      <c r="D343">
        <v>160.30000000000001</v>
      </c>
      <c r="E343">
        <v>206.5</v>
      </c>
      <c r="F343">
        <v>169.2</v>
      </c>
      <c r="G343">
        <v>168.1</v>
      </c>
      <c r="H343">
        <v>192.4</v>
      </c>
      <c r="I343">
        <v>172.9</v>
      </c>
      <c r="J343">
        <v>186.7</v>
      </c>
      <c r="K343">
        <v>167.2</v>
      </c>
      <c r="L343">
        <v>120.9</v>
      </c>
      <c r="M343">
        <v>193.6</v>
      </c>
      <c r="N343">
        <v>168.8</v>
      </c>
      <c r="O343">
        <v>186.3</v>
      </c>
      <c r="P343">
        <v>176.3</v>
      </c>
      <c r="Q343">
        <v>195</v>
      </c>
      <c r="R343">
        <v>179.5</v>
      </c>
      <c r="S343">
        <v>172.7</v>
      </c>
      <c r="T343">
        <v>178.5</v>
      </c>
      <c r="U343">
        <v>169</v>
      </c>
      <c r="V343">
        <v>178.8</v>
      </c>
      <c r="W343">
        <v>168.5</v>
      </c>
      <c r="X343">
        <v>176.8</v>
      </c>
      <c r="Y343">
        <v>161.9</v>
      </c>
      <c r="Z343">
        <v>166.9</v>
      </c>
      <c r="AA343">
        <v>172.3</v>
      </c>
      <c r="AB343">
        <v>171.2</v>
      </c>
      <c r="AC343">
        <v>169.1</v>
      </c>
      <c r="AD343">
        <v>174.3</v>
      </c>
    </row>
    <row r="344" spans="1:30" x14ac:dyDescent="0.25">
      <c r="A344" t="s">
        <v>28</v>
      </c>
      <c r="B344">
        <v>2022</v>
      </c>
      <c r="C344" t="s">
        <v>39</v>
      </c>
      <c r="D344">
        <v>162.9</v>
      </c>
      <c r="E344">
        <v>206.7</v>
      </c>
      <c r="F344">
        <v>169</v>
      </c>
      <c r="G344">
        <v>169.5</v>
      </c>
      <c r="H344">
        <v>194.1</v>
      </c>
      <c r="I344">
        <v>164.1</v>
      </c>
      <c r="J344">
        <v>176.9</v>
      </c>
      <c r="K344">
        <v>169</v>
      </c>
      <c r="L344">
        <v>120.8</v>
      </c>
      <c r="M344">
        <v>199.1</v>
      </c>
      <c r="N344">
        <v>175.4</v>
      </c>
      <c r="O344">
        <v>184.8</v>
      </c>
      <c r="P344">
        <v>175.5</v>
      </c>
      <c r="Q344">
        <v>194.5</v>
      </c>
      <c r="R344">
        <v>184.7</v>
      </c>
      <c r="S344">
        <v>183.3</v>
      </c>
      <c r="T344">
        <v>184.5</v>
      </c>
      <c r="V344">
        <v>179.7</v>
      </c>
      <c r="W344">
        <v>173.6</v>
      </c>
      <c r="X344">
        <v>180.2</v>
      </c>
      <c r="Y344">
        <v>166.9</v>
      </c>
      <c r="Z344">
        <v>170</v>
      </c>
      <c r="AA344">
        <v>176.2</v>
      </c>
      <c r="AB344">
        <v>170.8</v>
      </c>
      <c r="AC344">
        <v>173.1</v>
      </c>
      <c r="AD344">
        <v>176.4</v>
      </c>
    </row>
    <row r="345" spans="1:30" x14ac:dyDescent="0.25">
      <c r="A345" t="s">
        <v>30</v>
      </c>
      <c r="B345">
        <v>2022</v>
      </c>
      <c r="C345" t="s">
        <v>39</v>
      </c>
      <c r="D345">
        <v>164.9</v>
      </c>
      <c r="E345">
        <v>213.7</v>
      </c>
      <c r="F345">
        <v>170.9</v>
      </c>
      <c r="G345">
        <v>170.1</v>
      </c>
      <c r="H345">
        <v>179.3</v>
      </c>
      <c r="I345">
        <v>167.5</v>
      </c>
      <c r="J345">
        <v>220.8</v>
      </c>
      <c r="K345">
        <v>169.2</v>
      </c>
      <c r="L345">
        <v>123.1</v>
      </c>
      <c r="M345">
        <v>193.6</v>
      </c>
      <c r="N345">
        <v>161.1</v>
      </c>
      <c r="O345">
        <v>190.4</v>
      </c>
      <c r="P345">
        <v>181.8</v>
      </c>
      <c r="Q345">
        <v>199.7</v>
      </c>
      <c r="R345">
        <v>175</v>
      </c>
      <c r="S345">
        <v>161.69999999999999</v>
      </c>
      <c r="T345">
        <v>173</v>
      </c>
      <c r="U345">
        <v>169.5</v>
      </c>
      <c r="V345">
        <v>179.2</v>
      </c>
      <c r="W345">
        <v>165</v>
      </c>
      <c r="X345">
        <v>173.8</v>
      </c>
      <c r="Y345">
        <v>158.19999999999999</v>
      </c>
      <c r="Z345">
        <v>165.8</v>
      </c>
      <c r="AA345">
        <v>170.9</v>
      </c>
      <c r="AB345">
        <v>171.1</v>
      </c>
      <c r="AC345">
        <v>166.1</v>
      </c>
      <c r="AD345">
        <v>174.1</v>
      </c>
    </row>
    <row r="346" spans="1:30" x14ac:dyDescent="0.25">
      <c r="A346" t="s">
        <v>31</v>
      </c>
      <c r="B346">
        <v>2022</v>
      </c>
      <c r="C346" t="s">
        <v>39</v>
      </c>
      <c r="D346">
        <v>163.5</v>
      </c>
      <c r="E346">
        <v>209.2</v>
      </c>
      <c r="F346">
        <v>169.7</v>
      </c>
      <c r="G346">
        <v>169.7</v>
      </c>
      <c r="H346">
        <v>188.7</v>
      </c>
      <c r="I346">
        <v>165.7</v>
      </c>
      <c r="J346">
        <v>191.8</v>
      </c>
      <c r="K346">
        <v>169.1</v>
      </c>
      <c r="L346">
        <v>121.6</v>
      </c>
      <c r="M346">
        <v>197.3</v>
      </c>
      <c r="N346">
        <v>169.4</v>
      </c>
      <c r="O346">
        <v>187.4</v>
      </c>
      <c r="P346">
        <v>177.8</v>
      </c>
      <c r="Q346">
        <v>195.9</v>
      </c>
      <c r="R346">
        <v>180.9</v>
      </c>
      <c r="S346">
        <v>174.3</v>
      </c>
      <c r="T346">
        <v>179.9</v>
      </c>
      <c r="U346">
        <v>169.5</v>
      </c>
      <c r="V346">
        <v>179.5</v>
      </c>
      <c r="W346">
        <v>169.5</v>
      </c>
      <c r="X346">
        <v>177.8</v>
      </c>
      <c r="Y346">
        <v>162.30000000000001</v>
      </c>
      <c r="Z346">
        <v>167.6</v>
      </c>
      <c r="AA346">
        <v>173.1</v>
      </c>
      <c r="AB346">
        <v>170.9</v>
      </c>
      <c r="AC346">
        <v>169.7</v>
      </c>
      <c r="AD346">
        <v>175.3</v>
      </c>
    </row>
    <row r="347" spans="1:30" x14ac:dyDescent="0.25">
      <c r="A347" t="s">
        <v>28</v>
      </c>
      <c r="B347">
        <v>2022</v>
      </c>
      <c r="C347" t="s">
        <v>40</v>
      </c>
      <c r="D347">
        <v>164.7</v>
      </c>
      <c r="E347">
        <v>208.8</v>
      </c>
      <c r="F347">
        <v>170.3</v>
      </c>
      <c r="G347">
        <v>170.9</v>
      </c>
      <c r="H347">
        <v>191.6</v>
      </c>
      <c r="I347">
        <v>162.19999999999999</v>
      </c>
      <c r="J347">
        <v>184.8</v>
      </c>
      <c r="K347">
        <v>169.7</v>
      </c>
      <c r="L347">
        <v>121.1</v>
      </c>
      <c r="M347">
        <v>201.6</v>
      </c>
      <c r="N347">
        <v>175.8</v>
      </c>
      <c r="O347">
        <v>185.6</v>
      </c>
      <c r="P347">
        <v>177.4</v>
      </c>
      <c r="Q347">
        <v>194.9</v>
      </c>
      <c r="R347">
        <v>186.1</v>
      </c>
      <c r="S347">
        <v>184.4</v>
      </c>
      <c r="T347">
        <v>185.9</v>
      </c>
      <c r="V347">
        <v>180.8</v>
      </c>
      <c r="W347">
        <v>174.4</v>
      </c>
      <c r="X347">
        <v>181.2</v>
      </c>
      <c r="Y347">
        <v>167.4</v>
      </c>
      <c r="Z347">
        <v>170.6</v>
      </c>
      <c r="AA347">
        <v>176.5</v>
      </c>
      <c r="AB347">
        <v>172</v>
      </c>
      <c r="AC347">
        <v>173.9</v>
      </c>
      <c r="AD347">
        <v>177.9</v>
      </c>
    </row>
    <row r="348" spans="1:30" x14ac:dyDescent="0.25">
      <c r="A348" t="s">
        <v>30</v>
      </c>
      <c r="B348">
        <v>2022</v>
      </c>
      <c r="C348" t="s">
        <v>40</v>
      </c>
      <c r="D348">
        <v>166.4</v>
      </c>
      <c r="E348">
        <v>214.9</v>
      </c>
      <c r="F348">
        <v>171.9</v>
      </c>
      <c r="G348">
        <v>171</v>
      </c>
      <c r="H348">
        <v>177.7</v>
      </c>
      <c r="I348">
        <v>165.7</v>
      </c>
      <c r="J348">
        <v>228.6</v>
      </c>
      <c r="K348">
        <v>169.9</v>
      </c>
      <c r="L348">
        <v>123.4</v>
      </c>
      <c r="M348">
        <v>196.4</v>
      </c>
      <c r="N348">
        <v>161.6</v>
      </c>
      <c r="O348">
        <v>191.5</v>
      </c>
      <c r="P348">
        <v>183.3</v>
      </c>
      <c r="Q348">
        <v>200.1</v>
      </c>
      <c r="R348">
        <v>175.5</v>
      </c>
      <c r="S348">
        <v>162.6</v>
      </c>
      <c r="T348">
        <v>173.6</v>
      </c>
      <c r="U348">
        <v>171.2</v>
      </c>
      <c r="V348">
        <v>180</v>
      </c>
      <c r="W348">
        <v>166</v>
      </c>
      <c r="X348">
        <v>174.7</v>
      </c>
      <c r="Y348">
        <v>158.80000000000001</v>
      </c>
      <c r="Z348">
        <v>166.3</v>
      </c>
      <c r="AA348">
        <v>171.2</v>
      </c>
      <c r="AB348">
        <v>172.3</v>
      </c>
      <c r="AC348">
        <v>166.8</v>
      </c>
      <c r="AD348">
        <v>175.3</v>
      </c>
    </row>
    <row r="349" spans="1:30" x14ac:dyDescent="0.25">
      <c r="A349" t="s">
        <v>31</v>
      </c>
      <c r="B349">
        <v>2022</v>
      </c>
      <c r="C349" t="s">
        <v>40</v>
      </c>
      <c r="D349">
        <v>165.2</v>
      </c>
      <c r="E349">
        <v>210.9</v>
      </c>
      <c r="F349">
        <v>170.9</v>
      </c>
      <c r="G349">
        <v>170.9</v>
      </c>
      <c r="H349">
        <v>186.5</v>
      </c>
      <c r="I349">
        <v>163.80000000000001</v>
      </c>
      <c r="J349">
        <v>199.7</v>
      </c>
      <c r="K349">
        <v>169.8</v>
      </c>
      <c r="L349">
        <v>121.9</v>
      </c>
      <c r="M349">
        <v>199.9</v>
      </c>
      <c r="N349">
        <v>169.9</v>
      </c>
      <c r="O349">
        <v>188.3</v>
      </c>
      <c r="P349">
        <v>179.6</v>
      </c>
      <c r="Q349">
        <v>196.3</v>
      </c>
      <c r="R349">
        <v>181.9</v>
      </c>
      <c r="S349">
        <v>175.3</v>
      </c>
      <c r="T349">
        <v>181</v>
      </c>
      <c r="U349">
        <v>171.2</v>
      </c>
      <c r="V349">
        <v>180.5</v>
      </c>
      <c r="W349">
        <v>170.4</v>
      </c>
      <c r="X349">
        <v>178.7</v>
      </c>
      <c r="Y349">
        <v>162.9</v>
      </c>
      <c r="Z349">
        <v>168.2</v>
      </c>
      <c r="AA349">
        <v>173.4</v>
      </c>
      <c r="AB349">
        <v>172.1</v>
      </c>
      <c r="AC349">
        <v>170.5</v>
      </c>
      <c r="AD349">
        <v>176.7</v>
      </c>
    </row>
    <row r="350" spans="1:30" x14ac:dyDescent="0.25">
      <c r="A350" t="s">
        <v>28</v>
      </c>
      <c r="B350">
        <v>2022</v>
      </c>
      <c r="C350" t="s">
        <v>42</v>
      </c>
      <c r="D350">
        <v>166.9</v>
      </c>
      <c r="E350">
        <v>207.2</v>
      </c>
      <c r="F350">
        <v>180.2</v>
      </c>
      <c r="G350">
        <v>172.3</v>
      </c>
      <c r="H350">
        <v>194</v>
      </c>
      <c r="I350">
        <v>159.1</v>
      </c>
      <c r="J350">
        <v>171.6</v>
      </c>
      <c r="K350">
        <v>170.2</v>
      </c>
      <c r="L350">
        <v>121.5</v>
      </c>
      <c r="M350">
        <v>204.8</v>
      </c>
      <c r="N350">
        <v>176.4</v>
      </c>
      <c r="O350">
        <v>186.9</v>
      </c>
      <c r="P350">
        <v>176.6</v>
      </c>
      <c r="Q350">
        <v>195.5</v>
      </c>
      <c r="R350">
        <v>187.2</v>
      </c>
      <c r="S350">
        <v>185.2</v>
      </c>
      <c r="T350">
        <v>186.9</v>
      </c>
      <c r="V350">
        <v>181.9</v>
      </c>
      <c r="W350">
        <v>175.5</v>
      </c>
      <c r="X350">
        <v>182.3</v>
      </c>
      <c r="Y350">
        <v>167.5</v>
      </c>
      <c r="Z350">
        <v>170.8</v>
      </c>
      <c r="AA350">
        <v>176.9</v>
      </c>
      <c r="AB350">
        <v>173.4</v>
      </c>
      <c r="AC350">
        <v>174.6</v>
      </c>
      <c r="AD350">
        <v>177.8</v>
      </c>
    </row>
    <row r="351" spans="1:30" x14ac:dyDescent="0.25">
      <c r="A351" t="s">
        <v>30</v>
      </c>
      <c r="B351">
        <v>2022</v>
      </c>
      <c r="C351" t="s">
        <v>42</v>
      </c>
      <c r="D351">
        <v>168.4</v>
      </c>
      <c r="E351">
        <v>213.4</v>
      </c>
      <c r="F351">
        <v>183.2</v>
      </c>
      <c r="G351">
        <v>172.3</v>
      </c>
      <c r="H351">
        <v>180</v>
      </c>
      <c r="I351">
        <v>162.6</v>
      </c>
      <c r="J351">
        <v>205.5</v>
      </c>
      <c r="K351">
        <v>171</v>
      </c>
      <c r="L351">
        <v>123.4</v>
      </c>
      <c r="M351">
        <v>198.8</v>
      </c>
      <c r="N351">
        <v>162.1</v>
      </c>
      <c r="O351">
        <v>192.4</v>
      </c>
      <c r="P351">
        <v>181.3</v>
      </c>
      <c r="Q351">
        <v>200.6</v>
      </c>
      <c r="R351">
        <v>176.7</v>
      </c>
      <c r="S351">
        <v>163.5</v>
      </c>
      <c r="T351">
        <v>174.7</v>
      </c>
      <c r="U351">
        <v>171.8</v>
      </c>
      <c r="V351">
        <v>180.3</v>
      </c>
      <c r="W351">
        <v>166.9</v>
      </c>
      <c r="X351">
        <v>175.8</v>
      </c>
      <c r="Y351">
        <v>158.9</v>
      </c>
      <c r="Z351">
        <v>166.7</v>
      </c>
      <c r="AA351">
        <v>171.5</v>
      </c>
      <c r="AB351">
        <v>173.8</v>
      </c>
      <c r="AC351">
        <v>167.4</v>
      </c>
      <c r="AD351">
        <v>174.1</v>
      </c>
    </row>
    <row r="352" spans="1:30" x14ac:dyDescent="0.25">
      <c r="A352" t="s">
        <v>31</v>
      </c>
      <c r="B352">
        <v>2022</v>
      </c>
      <c r="C352" t="s">
        <v>42</v>
      </c>
      <c r="D352">
        <v>167.4</v>
      </c>
      <c r="E352">
        <v>209.4</v>
      </c>
      <c r="F352">
        <v>181.4</v>
      </c>
      <c r="G352">
        <v>172.3</v>
      </c>
      <c r="H352">
        <v>188.9</v>
      </c>
      <c r="I352">
        <v>160.69999999999999</v>
      </c>
      <c r="J352">
        <v>183.1</v>
      </c>
      <c r="K352">
        <v>170.5</v>
      </c>
      <c r="L352">
        <v>122.1</v>
      </c>
      <c r="M352">
        <v>202.8</v>
      </c>
      <c r="N352">
        <v>170.4</v>
      </c>
      <c r="O352">
        <v>189.5</v>
      </c>
      <c r="P352">
        <v>178.3</v>
      </c>
      <c r="Q352">
        <v>196.9</v>
      </c>
      <c r="R352">
        <v>183.1</v>
      </c>
      <c r="S352">
        <v>176.2</v>
      </c>
      <c r="T352">
        <v>182.1</v>
      </c>
      <c r="U352">
        <v>171.8</v>
      </c>
      <c r="V352">
        <v>181.3</v>
      </c>
      <c r="W352">
        <v>171.4</v>
      </c>
      <c r="X352">
        <v>179.8</v>
      </c>
      <c r="Y352">
        <v>163</v>
      </c>
      <c r="Z352">
        <v>168.5</v>
      </c>
      <c r="AA352">
        <v>173.7</v>
      </c>
      <c r="AB352">
        <v>173.6</v>
      </c>
      <c r="AC352">
        <v>171.1</v>
      </c>
      <c r="AD352">
        <v>176.5</v>
      </c>
    </row>
    <row r="353" spans="1:30" x14ac:dyDescent="0.25">
      <c r="A353" t="s">
        <v>28</v>
      </c>
      <c r="B353">
        <v>2022</v>
      </c>
      <c r="C353" t="s">
        <v>43</v>
      </c>
      <c r="D353">
        <v>168.8</v>
      </c>
      <c r="E353">
        <v>206.9</v>
      </c>
      <c r="F353">
        <v>189.1</v>
      </c>
      <c r="G353">
        <v>173.4</v>
      </c>
      <c r="H353">
        <v>193.9</v>
      </c>
      <c r="I353">
        <v>156.69999999999999</v>
      </c>
      <c r="J353">
        <v>150.19999999999999</v>
      </c>
      <c r="K353">
        <v>170.5</v>
      </c>
      <c r="L353">
        <v>121.2</v>
      </c>
      <c r="M353">
        <v>207.5</v>
      </c>
      <c r="N353">
        <v>176.8</v>
      </c>
      <c r="O353">
        <v>187.7</v>
      </c>
      <c r="P353">
        <v>174.4</v>
      </c>
      <c r="Q353">
        <v>195.9</v>
      </c>
      <c r="R353">
        <v>188.1</v>
      </c>
      <c r="S353">
        <v>185.9</v>
      </c>
      <c r="T353">
        <v>187.8</v>
      </c>
      <c r="V353">
        <v>182.8</v>
      </c>
      <c r="W353">
        <v>176.4</v>
      </c>
      <c r="X353">
        <v>183.5</v>
      </c>
      <c r="Y353">
        <v>167.8</v>
      </c>
      <c r="Z353">
        <v>171.2</v>
      </c>
      <c r="AA353">
        <v>177.3</v>
      </c>
      <c r="AB353">
        <v>175.7</v>
      </c>
      <c r="AC353">
        <v>175.5</v>
      </c>
      <c r="AD353">
        <v>177.1</v>
      </c>
    </row>
    <row r="354" spans="1:30" x14ac:dyDescent="0.25">
      <c r="A354" t="s">
        <v>30</v>
      </c>
      <c r="B354">
        <v>2022</v>
      </c>
      <c r="C354" t="s">
        <v>43</v>
      </c>
      <c r="D354">
        <v>170.2</v>
      </c>
      <c r="E354">
        <v>212.9</v>
      </c>
      <c r="F354">
        <v>191.9</v>
      </c>
      <c r="G354">
        <v>173.9</v>
      </c>
      <c r="H354">
        <v>179.1</v>
      </c>
      <c r="I354">
        <v>159.5</v>
      </c>
      <c r="J354">
        <v>178.7</v>
      </c>
      <c r="K354">
        <v>171.3</v>
      </c>
      <c r="L354">
        <v>123.1</v>
      </c>
      <c r="M354">
        <v>200.5</v>
      </c>
      <c r="N354">
        <v>162.80000000000001</v>
      </c>
      <c r="O354">
        <v>193.3</v>
      </c>
      <c r="P354">
        <v>178.6</v>
      </c>
      <c r="Q354">
        <v>201.1</v>
      </c>
      <c r="R354">
        <v>177.7</v>
      </c>
      <c r="S354">
        <v>164.5</v>
      </c>
      <c r="T354">
        <v>175.7</v>
      </c>
      <c r="U354">
        <v>170.7</v>
      </c>
      <c r="V354">
        <v>180.6</v>
      </c>
      <c r="W354">
        <v>167.3</v>
      </c>
      <c r="X354">
        <v>177.2</v>
      </c>
      <c r="Y354">
        <v>159.4</v>
      </c>
      <c r="Z354">
        <v>167.1</v>
      </c>
      <c r="AA354">
        <v>171.8</v>
      </c>
      <c r="AB354">
        <v>176</v>
      </c>
      <c r="AC354">
        <v>168.2</v>
      </c>
      <c r="AD354">
        <v>174.1</v>
      </c>
    </row>
    <row r="355" spans="1:30" x14ac:dyDescent="0.25">
      <c r="A355" t="s">
        <v>31</v>
      </c>
      <c r="B355">
        <v>2022</v>
      </c>
      <c r="C355" t="s">
        <v>43</v>
      </c>
      <c r="D355">
        <v>169.2</v>
      </c>
      <c r="E355">
        <v>209</v>
      </c>
      <c r="F355">
        <v>190.2</v>
      </c>
      <c r="G355">
        <v>173.6</v>
      </c>
      <c r="H355">
        <v>188.5</v>
      </c>
      <c r="I355">
        <v>158</v>
      </c>
      <c r="J355">
        <v>159.9</v>
      </c>
      <c r="K355">
        <v>170.8</v>
      </c>
      <c r="L355">
        <v>121.8</v>
      </c>
      <c r="M355">
        <v>205.2</v>
      </c>
      <c r="N355">
        <v>171</v>
      </c>
      <c r="O355">
        <v>190.3</v>
      </c>
      <c r="P355">
        <v>175.9</v>
      </c>
      <c r="Q355">
        <v>197.3</v>
      </c>
      <c r="R355">
        <v>184</v>
      </c>
      <c r="S355">
        <v>177</v>
      </c>
      <c r="T355">
        <v>183</v>
      </c>
      <c r="U355">
        <v>170.7</v>
      </c>
      <c r="V355">
        <v>182</v>
      </c>
      <c r="W355">
        <v>172.1</v>
      </c>
      <c r="X355">
        <v>181.1</v>
      </c>
      <c r="Y355">
        <v>163.4</v>
      </c>
      <c r="Z355">
        <v>168.9</v>
      </c>
      <c r="AA355">
        <v>174.1</v>
      </c>
      <c r="AB355">
        <v>175.8</v>
      </c>
      <c r="AC355">
        <v>172</v>
      </c>
      <c r="AD355">
        <v>175.7</v>
      </c>
    </row>
    <row r="356" spans="1:30" x14ac:dyDescent="0.25">
      <c r="A356" t="s">
        <v>28</v>
      </c>
      <c r="B356">
        <v>2023</v>
      </c>
      <c r="C356" t="s">
        <v>29</v>
      </c>
      <c r="D356">
        <v>174</v>
      </c>
      <c r="E356">
        <v>208.3</v>
      </c>
      <c r="F356">
        <v>192.9</v>
      </c>
      <c r="G356">
        <v>174.3</v>
      </c>
      <c r="H356">
        <v>192.6</v>
      </c>
      <c r="I356">
        <v>156.30000000000001</v>
      </c>
      <c r="J356">
        <v>142.9</v>
      </c>
      <c r="K356">
        <v>170.7</v>
      </c>
      <c r="L356">
        <v>120.3</v>
      </c>
      <c r="M356">
        <v>210.5</v>
      </c>
      <c r="N356">
        <v>176.9</v>
      </c>
      <c r="O356">
        <v>188.5</v>
      </c>
      <c r="P356">
        <v>175</v>
      </c>
      <c r="Q356">
        <v>196.9</v>
      </c>
      <c r="R356">
        <v>189</v>
      </c>
      <c r="S356">
        <v>186.3</v>
      </c>
      <c r="T356">
        <v>188.6</v>
      </c>
      <c r="V356">
        <v>183.2</v>
      </c>
      <c r="W356">
        <v>177.2</v>
      </c>
      <c r="X356">
        <v>184.7</v>
      </c>
      <c r="Y356">
        <v>168.2</v>
      </c>
      <c r="Z356">
        <v>171.8</v>
      </c>
      <c r="AA356">
        <v>177.8</v>
      </c>
      <c r="AB356">
        <v>178.4</v>
      </c>
      <c r="AC356">
        <v>176.5</v>
      </c>
      <c r="AD356">
        <v>177.8</v>
      </c>
    </row>
    <row r="357" spans="1:30" x14ac:dyDescent="0.25">
      <c r="A357" t="s">
        <v>30</v>
      </c>
      <c r="B357">
        <v>2023</v>
      </c>
      <c r="C357" t="s">
        <v>29</v>
      </c>
      <c r="D357">
        <v>173.3</v>
      </c>
      <c r="E357">
        <v>215.2</v>
      </c>
      <c r="F357">
        <v>197</v>
      </c>
      <c r="G357">
        <v>175.2</v>
      </c>
      <c r="H357">
        <v>178</v>
      </c>
      <c r="I357">
        <v>160.5</v>
      </c>
      <c r="J357">
        <v>175.3</v>
      </c>
      <c r="K357">
        <v>171.2</v>
      </c>
      <c r="L357">
        <v>122.7</v>
      </c>
      <c r="M357">
        <v>204.3</v>
      </c>
      <c r="N357">
        <v>163.69999999999999</v>
      </c>
      <c r="O357">
        <v>194.3</v>
      </c>
      <c r="P357">
        <v>179.5</v>
      </c>
      <c r="Q357">
        <v>201.6</v>
      </c>
      <c r="R357">
        <v>178.7</v>
      </c>
      <c r="S357">
        <v>165.3</v>
      </c>
      <c r="T357">
        <v>176.6</v>
      </c>
      <c r="U357">
        <v>172.1</v>
      </c>
      <c r="V357">
        <v>180.1</v>
      </c>
      <c r="W357">
        <v>168</v>
      </c>
      <c r="X357">
        <v>178.5</v>
      </c>
      <c r="Y357">
        <v>159.5</v>
      </c>
      <c r="Z357">
        <v>167.8</v>
      </c>
      <c r="AA357">
        <v>171.8</v>
      </c>
      <c r="AB357">
        <v>178.8</v>
      </c>
      <c r="AC357">
        <v>168.9</v>
      </c>
      <c r="AD357">
        <v>174.9</v>
      </c>
    </row>
    <row r="358" spans="1:30" x14ac:dyDescent="0.25">
      <c r="A358" t="s">
        <v>31</v>
      </c>
      <c r="B358">
        <v>2023</v>
      </c>
      <c r="C358" t="s">
        <v>29</v>
      </c>
      <c r="D358">
        <v>173.8</v>
      </c>
      <c r="E358">
        <v>210.7</v>
      </c>
      <c r="F358">
        <v>194.5</v>
      </c>
      <c r="G358">
        <v>174.6</v>
      </c>
      <c r="H358">
        <v>187.2</v>
      </c>
      <c r="I358">
        <v>158.30000000000001</v>
      </c>
      <c r="J358">
        <v>153.9</v>
      </c>
      <c r="K358">
        <v>170.9</v>
      </c>
      <c r="L358">
        <v>121.1</v>
      </c>
      <c r="M358">
        <v>208.4</v>
      </c>
      <c r="N358">
        <v>171.4</v>
      </c>
      <c r="O358">
        <v>191.2</v>
      </c>
      <c r="P358">
        <v>176.7</v>
      </c>
      <c r="Q358">
        <v>198.2</v>
      </c>
      <c r="R358">
        <v>184.9</v>
      </c>
      <c r="S358">
        <v>177.6</v>
      </c>
      <c r="T358">
        <v>183.8</v>
      </c>
      <c r="U358">
        <v>172.1</v>
      </c>
      <c r="V358">
        <v>182</v>
      </c>
      <c r="W358">
        <v>172.9</v>
      </c>
      <c r="X358">
        <v>182.3</v>
      </c>
      <c r="Y358">
        <v>163.6</v>
      </c>
      <c r="Z358">
        <v>169.5</v>
      </c>
      <c r="AA358">
        <v>174.3</v>
      </c>
      <c r="AB358">
        <v>178.6</v>
      </c>
      <c r="AC358">
        <v>172.8</v>
      </c>
      <c r="AD358">
        <v>176.5</v>
      </c>
    </row>
    <row r="359" spans="1:30" x14ac:dyDescent="0.25">
      <c r="A359" t="s">
        <v>28</v>
      </c>
      <c r="B359">
        <v>2023</v>
      </c>
      <c r="C359" t="s">
        <v>32</v>
      </c>
      <c r="D359">
        <v>174.2</v>
      </c>
      <c r="E359">
        <v>205.2</v>
      </c>
      <c r="F359">
        <v>173.9</v>
      </c>
      <c r="G359">
        <v>177</v>
      </c>
      <c r="H359">
        <v>183.4</v>
      </c>
      <c r="I359">
        <v>167.2</v>
      </c>
      <c r="J359">
        <v>140.9</v>
      </c>
      <c r="K359">
        <v>170.4</v>
      </c>
      <c r="L359">
        <v>119.1</v>
      </c>
      <c r="M359">
        <v>212.1</v>
      </c>
      <c r="N359">
        <v>177.6</v>
      </c>
      <c r="O359">
        <v>189.9</v>
      </c>
      <c r="P359">
        <v>174.8</v>
      </c>
      <c r="Q359">
        <v>198.3</v>
      </c>
      <c r="R359">
        <v>190</v>
      </c>
      <c r="S359">
        <v>187</v>
      </c>
      <c r="T359">
        <v>189.6</v>
      </c>
      <c r="V359">
        <v>181.6</v>
      </c>
      <c r="W359">
        <v>178.6</v>
      </c>
      <c r="X359">
        <v>186.6</v>
      </c>
      <c r="Y359">
        <v>169</v>
      </c>
      <c r="Z359">
        <v>172.8</v>
      </c>
      <c r="AA359">
        <v>178.5</v>
      </c>
      <c r="AB359">
        <v>180.7</v>
      </c>
      <c r="AC359">
        <v>177.9</v>
      </c>
      <c r="AD359">
        <v>178</v>
      </c>
    </row>
    <row r="360" spans="1:30" x14ac:dyDescent="0.25">
      <c r="A360" t="s">
        <v>30</v>
      </c>
      <c r="B360">
        <v>2023</v>
      </c>
      <c r="C360" t="s">
        <v>32</v>
      </c>
      <c r="D360">
        <v>174.7</v>
      </c>
      <c r="E360">
        <v>212.2</v>
      </c>
      <c r="F360">
        <v>177.2</v>
      </c>
      <c r="G360">
        <v>177.9</v>
      </c>
      <c r="H360">
        <v>172.2</v>
      </c>
      <c r="I360">
        <v>172.1</v>
      </c>
      <c r="J360">
        <v>175.8</v>
      </c>
      <c r="K360">
        <v>172.2</v>
      </c>
      <c r="L360">
        <v>121.9</v>
      </c>
      <c r="M360">
        <v>204.8</v>
      </c>
      <c r="N360">
        <v>164.9</v>
      </c>
      <c r="O360">
        <v>196.6</v>
      </c>
      <c r="P360">
        <v>180.7</v>
      </c>
      <c r="Q360">
        <v>202.7</v>
      </c>
      <c r="R360">
        <v>180.3</v>
      </c>
      <c r="S360">
        <v>167</v>
      </c>
      <c r="T360">
        <v>178.2</v>
      </c>
      <c r="U360">
        <v>173.5</v>
      </c>
      <c r="V360">
        <v>182.8</v>
      </c>
      <c r="W360">
        <v>169.2</v>
      </c>
      <c r="X360">
        <v>180.8</v>
      </c>
      <c r="Y360">
        <v>159.80000000000001</v>
      </c>
      <c r="Z360">
        <v>168.4</v>
      </c>
      <c r="AA360">
        <v>172.5</v>
      </c>
      <c r="AB360">
        <v>181.4</v>
      </c>
      <c r="AC360">
        <v>170</v>
      </c>
      <c r="AD360">
        <v>176.3</v>
      </c>
    </row>
    <row r="361" spans="1:30" x14ac:dyDescent="0.25">
      <c r="A361" t="s">
        <v>31</v>
      </c>
      <c r="B361">
        <v>2023</v>
      </c>
      <c r="C361" t="s">
        <v>32</v>
      </c>
      <c r="D361">
        <v>174.4</v>
      </c>
      <c r="E361">
        <v>207.7</v>
      </c>
      <c r="F361">
        <v>175.2</v>
      </c>
      <c r="G361">
        <v>177.3</v>
      </c>
      <c r="H361">
        <v>179.3</v>
      </c>
      <c r="I361">
        <v>169.5</v>
      </c>
      <c r="J361">
        <v>152.69999999999999</v>
      </c>
      <c r="K361">
        <v>171</v>
      </c>
      <c r="L361">
        <v>120</v>
      </c>
      <c r="M361">
        <v>209.7</v>
      </c>
      <c r="N361">
        <v>172.3</v>
      </c>
      <c r="O361">
        <v>193</v>
      </c>
      <c r="P361">
        <v>177</v>
      </c>
      <c r="Q361">
        <v>199.5</v>
      </c>
      <c r="R361">
        <v>186.2</v>
      </c>
      <c r="S361">
        <v>178.7</v>
      </c>
      <c r="T361">
        <v>185.1</v>
      </c>
      <c r="U361">
        <v>173.5</v>
      </c>
      <c r="V361">
        <v>182.1</v>
      </c>
      <c r="W361">
        <v>174.2</v>
      </c>
      <c r="X361">
        <v>184.4</v>
      </c>
      <c r="Y361">
        <v>164.2</v>
      </c>
      <c r="Z361">
        <v>170.3</v>
      </c>
      <c r="AA361">
        <v>175</v>
      </c>
      <c r="AB361">
        <v>181</v>
      </c>
      <c r="AC361">
        <v>174.1</v>
      </c>
      <c r="AD361">
        <v>177.2</v>
      </c>
    </row>
    <row r="362" spans="1:30" x14ac:dyDescent="0.25">
      <c r="A362" t="s">
        <v>28</v>
      </c>
      <c r="B362">
        <v>2023</v>
      </c>
      <c r="C362" t="s">
        <v>33</v>
      </c>
      <c r="D362">
        <v>174.3</v>
      </c>
      <c r="E362">
        <v>205.2</v>
      </c>
      <c r="F362">
        <v>173.9</v>
      </c>
      <c r="G362">
        <v>177</v>
      </c>
      <c r="H362">
        <v>183.3</v>
      </c>
      <c r="I362">
        <v>167.2</v>
      </c>
      <c r="J362">
        <v>140.9</v>
      </c>
      <c r="K362">
        <v>170.5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198.4</v>
      </c>
      <c r="R362">
        <v>190</v>
      </c>
      <c r="S362">
        <v>187</v>
      </c>
      <c r="T362">
        <v>189.6</v>
      </c>
      <c r="V362">
        <v>181.4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25">
      <c r="A363" t="s">
        <v>30</v>
      </c>
      <c r="B363">
        <v>2023</v>
      </c>
      <c r="C363" t="s">
        <v>33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175.9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180.8</v>
      </c>
      <c r="Q363">
        <v>202.7</v>
      </c>
      <c r="R363">
        <v>180.2</v>
      </c>
      <c r="S363">
        <v>167</v>
      </c>
      <c r="T363">
        <v>178.2</v>
      </c>
      <c r="U363">
        <v>173.5</v>
      </c>
      <c r="V363">
        <v>182.6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181.5</v>
      </c>
      <c r="AC363">
        <v>170</v>
      </c>
      <c r="AD363">
        <v>176.3</v>
      </c>
    </row>
    <row r="364" spans="1:30" x14ac:dyDescent="0.25">
      <c r="A364" t="s">
        <v>31</v>
      </c>
      <c r="B364">
        <v>2023</v>
      </c>
      <c r="C364" t="s">
        <v>33</v>
      </c>
      <c r="D364">
        <v>174.4</v>
      </c>
      <c r="E364">
        <v>207.7</v>
      </c>
      <c r="F364">
        <v>175.2</v>
      </c>
      <c r="G364">
        <v>177.3</v>
      </c>
      <c r="H364">
        <v>179.2</v>
      </c>
      <c r="I364">
        <v>169.5</v>
      </c>
      <c r="J364">
        <v>152.80000000000001</v>
      </c>
      <c r="K364">
        <v>171.1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186.1</v>
      </c>
      <c r="S364">
        <v>178.7</v>
      </c>
      <c r="T364">
        <v>185.1</v>
      </c>
      <c r="U364">
        <v>173.5</v>
      </c>
      <c r="V364">
        <v>181.9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25">
      <c r="A365" t="s">
        <v>28</v>
      </c>
      <c r="B365">
        <v>2023</v>
      </c>
      <c r="C365" t="s">
        <v>34</v>
      </c>
      <c r="D365">
        <v>173.3</v>
      </c>
      <c r="E365">
        <v>206.9</v>
      </c>
      <c r="F365">
        <v>167.9</v>
      </c>
      <c r="G365">
        <v>178.2</v>
      </c>
      <c r="H365">
        <v>178.5</v>
      </c>
      <c r="I365">
        <v>173.7</v>
      </c>
      <c r="J365">
        <v>142.80000000000001</v>
      </c>
      <c r="K365">
        <v>172.8</v>
      </c>
      <c r="L365">
        <v>120.4</v>
      </c>
      <c r="M365">
        <v>215.5</v>
      </c>
      <c r="N365">
        <v>178.2</v>
      </c>
      <c r="O365">
        <v>190.5</v>
      </c>
      <c r="P365">
        <v>175.5</v>
      </c>
      <c r="Q365">
        <v>199.5</v>
      </c>
      <c r="R365">
        <v>190.7</v>
      </c>
      <c r="S365">
        <v>187.3</v>
      </c>
      <c r="T365">
        <v>190.2</v>
      </c>
      <c r="V365">
        <v>181.5</v>
      </c>
      <c r="W365">
        <v>179.1</v>
      </c>
      <c r="X365">
        <v>187.2</v>
      </c>
      <c r="Y365">
        <v>169.4</v>
      </c>
      <c r="Z365">
        <v>173.2</v>
      </c>
      <c r="AA365">
        <v>179.4</v>
      </c>
      <c r="AB365">
        <v>183.8</v>
      </c>
      <c r="AC365">
        <v>178.9</v>
      </c>
      <c r="AD365">
        <v>178.8</v>
      </c>
    </row>
    <row r="366" spans="1:30" x14ac:dyDescent="0.25">
      <c r="A366" t="s">
        <v>30</v>
      </c>
      <c r="B366">
        <v>2023</v>
      </c>
      <c r="C366" t="s">
        <v>34</v>
      </c>
      <c r="D366">
        <v>174.8</v>
      </c>
      <c r="E366">
        <v>213.7</v>
      </c>
      <c r="F366">
        <v>172.4</v>
      </c>
      <c r="G366">
        <v>178.8</v>
      </c>
      <c r="H366">
        <v>168.7</v>
      </c>
      <c r="I366">
        <v>179.2</v>
      </c>
      <c r="J366">
        <v>179.9</v>
      </c>
      <c r="K366">
        <v>174.7</v>
      </c>
      <c r="L366">
        <v>123.1</v>
      </c>
      <c r="M366">
        <v>207.8</v>
      </c>
      <c r="N366">
        <v>165.5</v>
      </c>
      <c r="O366">
        <v>197</v>
      </c>
      <c r="P366">
        <v>182.1</v>
      </c>
      <c r="Q366">
        <v>203.5</v>
      </c>
      <c r="R366">
        <v>181</v>
      </c>
      <c r="S366">
        <v>167.7</v>
      </c>
      <c r="T366">
        <v>178.9</v>
      </c>
      <c r="U366">
        <v>175.2</v>
      </c>
      <c r="V366">
        <v>182.1</v>
      </c>
      <c r="W366">
        <v>169.6</v>
      </c>
      <c r="X366">
        <v>181.5</v>
      </c>
      <c r="Y366">
        <v>160.1</v>
      </c>
      <c r="Z366">
        <v>168.8</v>
      </c>
      <c r="AA366">
        <v>174.2</v>
      </c>
      <c r="AB366">
        <v>184.4</v>
      </c>
      <c r="AC366">
        <v>170.9</v>
      </c>
      <c r="AD366">
        <v>177.4</v>
      </c>
    </row>
    <row r="367" spans="1:30" x14ac:dyDescent="0.25">
      <c r="A367" t="s">
        <v>31</v>
      </c>
      <c r="B367">
        <v>2023</v>
      </c>
      <c r="C367" t="s">
        <v>34</v>
      </c>
      <c r="D367">
        <v>173.8</v>
      </c>
      <c r="E367">
        <v>209.3</v>
      </c>
      <c r="F367">
        <v>169.6</v>
      </c>
      <c r="G367">
        <v>178.4</v>
      </c>
      <c r="H367">
        <v>174.9</v>
      </c>
      <c r="I367">
        <v>176.3</v>
      </c>
      <c r="J367">
        <v>155.4</v>
      </c>
      <c r="K367">
        <v>173.4</v>
      </c>
      <c r="L367">
        <v>121.3</v>
      </c>
      <c r="M367">
        <v>212.9</v>
      </c>
      <c r="N367">
        <v>172.9</v>
      </c>
      <c r="O367">
        <v>193.5</v>
      </c>
      <c r="P367">
        <v>177.9</v>
      </c>
      <c r="Q367">
        <v>200.6</v>
      </c>
      <c r="R367">
        <v>186.9</v>
      </c>
      <c r="S367">
        <v>179.2</v>
      </c>
      <c r="T367">
        <v>185.7</v>
      </c>
      <c r="U367">
        <v>175.2</v>
      </c>
      <c r="V367">
        <v>181.7</v>
      </c>
      <c r="W367">
        <v>174.6</v>
      </c>
      <c r="X367">
        <v>185</v>
      </c>
      <c r="Y367">
        <v>164.5</v>
      </c>
      <c r="Z367">
        <v>170.7</v>
      </c>
      <c r="AA367">
        <v>176.4</v>
      </c>
      <c r="AB367">
        <v>184</v>
      </c>
      <c r="AC367">
        <v>175</v>
      </c>
      <c r="AD367">
        <v>178.1</v>
      </c>
    </row>
    <row r="368" spans="1:30" x14ac:dyDescent="0.25">
      <c r="A368" t="s">
        <v>28</v>
      </c>
      <c r="B368">
        <v>2023</v>
      </c>
      <c r="C368" t="s">
        <v>35</v>
      </c>
      <c r="D368">
        <v>173.2</v>
      </c>
      <c r="E368">
        <v>211.5</v>
      </c>
      <c r="F368">
        <v>171</v>
      </c>
      <c r="G368">
        <v>179.6</v>
      </c>
      <c r="H368">
        <v>173.3</v>
      </c>
      <c r="I368">
        <v>169</v>
      </c>
      <c r="J368">
        <v>148.69999999999999</v>
      </c>
      <c r="K368">
        <v>174.9</v>
      </c>
      <c r="L368">
        <v>121.9</v>
      </c>
      <c r="M368">
        <v>221</v>
      </c>
      <c r="N368">
        <v>178.7</v>
      </c>
      <c r="O368">
        <v>191.1</v>
      </c>
      <c r="P368">
        <v>176.8</v>
      </c>
      <c r="Q368">
        <v>199.9</v>
      </c>
      <c r="R368">
        <v>191.2</v>
      </c>
      <c r="S368">
        <v>187.9</v>
      </c>
      <c r="T368">
        <v>190.8</v>
      </c>
      <c r="V368">
        <v>182.5</v>
      </c>
      <c r="W368">
        <v>179.8</v>
      </c>
      <c r="X368">
        <v>187.8</v>
      </c>
      <c r="Y368">
        <v>169.7</v>
      </c>
      <c r="Z368">
        <v>173.8</v>
      </c>
      <c r="AA368">
        <v>180.3</v>
      </c>
      <c r="AB368">
        <v>184.9</v>
      </c>
      <c r="AC368">
        <v>179.5</v>
      </c>
      <c r="AD368">
        <v>179.8</v>
      </c>
    </row>
    <row r="369" spans="1:30" x14ac:dyDescent="0.25">
      <c r="A369" t="s">
        <v>30</v>
      </c>
      <c r="B369">
        <v>2023</v>
      </c>
      <c r="C369" t="s">
        <v>35</v>
      </c>
      <c r="D369">
        <v>174.7</v>
      </c>
      <c r="E369">
        <v>219.4</v>
      </c>
      <c r="F369">
        <v>176.7</v>
      </c>
      <c r="G369">
        <v>179.4</v>
      </c>
      <c r="H369">
        <v>164.4</v>
      </c>
      <c r="I369">
        <v>175.8</v>
      </c>
      <c r="J369">
        <v>185</v>
      </c>
      <c r="K369">
        <v>176.9</v>
      </c>
      <c r="L369">
        <v>124.2</v>
      </c>
      <c r="M369">
        <v>211.9</v>
      </c>
      <c r="N369">
        <v>165.9</v>
      </c>
      <c r="O369">
        <v>197.7</v>
      </c>
      <c r="P369">
        <v>183.1</v>
      </c>
      <c r="Q369">
        <v>204.2</v>
      </c>
      <c r="R369">
        <v>181.3</v>
      </c>
      <c r="S369">
        <v>168.1</v>
      </c>
      <c r="T369">
        <v>179.3</v>
      </c>
      <c r="U369">
        <v>175.6</v>
      </c>
      <c r="V369">
        <v>183.4</v>
      </c>
      <c r="W369">
        <v>170.1</v>
      </c>
      <c r="X369">
        <v>182.2</v>
      </c>
      <c r="Y369">
        <v>160.4</v>
      </c>
      <c r="Z369">
        <v>169.2</v>
      </c>
      <c r="AA369">
        <v>174.8</v>
      </c>
      <c r="AB369">
        <v>185.6</v>
      </c>
      <c r="AC369">
        <v>171.6</v>
      </c>
      <c r="AD369">
        <v>178.2</v>
      </c>
    </row>
    <row r="370" spans="1:30" x14ac:dyDescent="0.25">
      <c r="A370" t="s">
        <v>31</v>
      </c>
      <c r="B370">
        <v>2023</v>
      </c>
      <c r="C370" t="s">
        <v>35</v>
      </c>
      <c r="D370">
        <v>173.7</v>
      </c>
      <c r="E370">
        <v>214.3</v>
      </c>
      <c r="F370">
        <v>173.2</v>
      </c>
      <c r="G370">
        <v>179.5</v>
      </c>
      <c r="H370">
        <v>170</v>
      </c>
      <c r="I370">
        <v>172.2</v>
      </c>
      <c r="J370">
        <v>161</v>
      </c>
      <c r="K370">
        <v>175.6</v>
      </c>
      <c r="L370">
        <v>122.7</v>
      </c>
      <c r="M370">
        <v>218</v>
      </c>
      <c r="N370">
        <v>173.4</v>
      </c>
      <c r="O370">
        <v>194.2</v>
      </c>
      <c r="P370">
        <v>179.1</v>
      </c>
      <c r="Q370">
        <v>201</v>
      </c>
      <c r="R370">
        <v>187.3</v>
      </c>
      <c r="S370">
        <v>179.7</v>
      </c>
      <c r="T370">
        <v>186.2</v>
      </c>
      <c r="U370">
        <v>175.6</v>
      </c>
      <c r="V370">
        <v>182.8</v>
      </c>
      <c r="W370">
        <v>175.2</v>
      </c>
      <c r="X370">
        <v>185.7</v>
      </c>
      <c r="Y370">
        <v>164.8</v>
      </c>
      <c r="Z370">
        <v>171.2</v>
      </c>
      <c r="AA370">
        <v>177.1</v>
      </c>
      <c r="AB370">
        <v>185.2</v>
      </c>
      <c r="AC370">
        <v>175.7</v>
      </c>
      <c r="AD370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3464-6B3F-4B24-B81A-AA792F87A6D3}">
  <dimension ref="A1:AI370"/>
  <sheetViews>
    <sheetView zoomScaleNormal="100" workbookViewId="0">
      <selection activeCell="G8" sqref="G8"/>
    </sheetView>
  </sheetViews>
  <sheetFormatPr defaultRowHeight="15" x14ac:dyDescent="0.25"/>
  <cols>
    <col min="4" max="4" width="21.5703125" customWidth="1"/>
    <col min="5" max="5" width="15.28515625" customWidth="1"/>
    <col min="7" max="7" width="19" customWidth="1"/>
    <col min="8" max="8" width="14" customWidth="1"/>
    <col min="10" max="10" width="13.140625" customWidth="1"/>
    <col min="11" max="11" width="20.7109375" customWidth="1"/>
    <col min="12" max="12" width="24.7109375" customWidth="1"/>
    <col min="14" max="14" width="25" customWidth="1"/>
    <col min="15" max="15" width="32.5703125" customWidth="1"/>
    <col min="16" max="17" width="20.85546875" customWidth="1"/>
    <col min="18" max="18" width="28.140625" customWidth="1"/>
    <col min="19" max="19" width="10.5703125" customWidth="1"/>
    <col min="20" max="20" width="11.5703125" customWidth="1"/>
    <col min="21" max="22" width="22.85546875" customWidth="1"/>
    <col min="23" max="23" width="10.28515625" customWidth="1"/>
    <col min="24" max="24" width="15.140625" customWidth="1"/>
    <col min="25" max="25" width="29.7109375" customWidth="1"/>
    <col min="27" max="27" width="29.42578125" customWidth="1"/>
    <col min="28" max="28" width="20.140625" customWidth="1"/>
    <col min="29" max="29" width="27.42578125" customWidth="1"/>
    <col min="30" max="30" width="11.85546875" customWidth="1"/>
    <col min="31" max="32" width="23.140625" customWidth="1"/>
    <col min="33" max="33" width="16" customWidth="1"/>
    <col min="34" max="34" width="15.7109375" customWidth="1"/>
    <col min="35" max="35" width="29.8554687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45</v>
      </c>
      <c r="P1" t="s">
        <v>14</v>
      </c>
      <c r="Q1" t="s">
        <v>47</v>
      </c>
      <c r="R1" t="s">
        <v>15</v>
      </c>
      <c r="S1" t="s">
        <v>16</v>
      </c>
      <c r="T1" t="s">
        <v>17</v>
      </c>
      <c r="U1" t="s">
        <v>18</v>
      </c>
      <c r="V1" t="s">
        <v>48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51</v>
      </c>
      <c r="AC1" t="s">
        <v>24</v>
      </c>
      <c r="AD1" t="s">
        <v>25</v>
      </c>
      <c r="AE1" t="s">
        <v>46</v>
      </c>
      <c r="AF1" t="s">
        <v>49</v>
      </c>
      <c r="AG1" t="s">
        <v>26</v>
      </c>
      <c r="AH1" t="s">
        <v>27</v>
      </c>
      <c r="AI1" t="s">
        <v>50</v>
      </c>
    </row>
    <row r="2" spans="1:35" x14ac:dyDescent="0.25">
      <c r="A2" t="s">
        <v>28</v>
      </c>
      <c r="B2">
        <v>2013</v>
      </c>
      <c r="C2" t="s">
        <v>29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 s="1">
        <f>AVERAGE(Table1[[#This Row],[Cereals and products]:[Food and beverages]])</f>
        <v>105.5153846153846</v>
      </c>
      <c r="R2">
        <v>105.1</v>
      </c>
      <c r="S2">
        <v>106.5</v>
      </c>
      <c r="T2">
        <v>105.8</v>
      </c>
      <c r="U2">
        <v>106.4</v>
      </c>
      <c r="V2" s="1">
        <f>AVERAGE(Table1[[#This Row],[Clothing]:[Clothing and footwear]])</f>
        <v>106.23333333333335</v>
      </c>
      <c r="X2">
        <v>105.5</v>
      </c>
      <c r="Y2">
        <v>104.8</v>
      </c>
      <c r="Z2">
        <v>104</v>
      </c>
      <c r="AA2">
        <v>103.3</v>
      </c>
      <c r="AB2" s="1">
        <f>AVERAGE(W2,X2,Y2,AA2)</f>
        <v>104.53333333333335</v>
      </c>
      <c r="AC2">
        <v>103.4</v>
      </c>
      <c r="AD2">
        <v>103.8</v>
      </c>
      <c r="AE2">
        <v>104.7</v>
      </c>
      <c r="AF2">
        <f t="shared" ref="AF2:AF33" si="0">AVERAGE(Z2,AE2)</f>
        <v>104.35</v>
      </c>
      <c r="AG2">
        <v>104</v>
      </c>
      <c r="AH2">
        <v>105.1</v>
      </c>
      <c r="AI2">
        <f t="shared" ref="AI2:AI65" si="1">AVERAGE(AG2,AH2)</f>
        <v>104.55</v>
      </c>
    </row>
    <row r="3" spans="1:35" x14ac:dyDescent="0.25">
      <c r="A3" t="s">
        <v>30</v>
      </c>
      <c r="B3">
        <v>2013</v>
      </c>
      <c r="C3" t="s">
        <v>29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 s="1">
        <f>AVERAGE(Table1[[#This Row],[Cereals and products]:[Food and beverages]])</f>
        <v>105.87692307692308</v>
      </c>
      <c r="R3">
        <v>105.2</v>
      </c>
      <c r="S3">
        <v>105.9</v>
      </c>
      <c r="T3">
        <v>105</v>
      </c>
      <c r="U3">
        <v>105.8</v>
      </c>
      <c r="V3" s="1">
        <f>AVERAGE(Table1[[#This Row],[Clothing]:[Clothing and footwear]])</f>
        <v>105.56666666666666</v>
      </c>
      <c r="W3">
        <v>100.3</v>
      </c>
      <c r="X3">
        <v>105.4</v>
      </c>
      <c r="Y3">
        <v>104.8</v>
      </c>
      <c r="Z3">
        <v>104.1</v>
      </c>
      <c r="AA3">
        <v>103.2</v>
      </c>
      <c r="AB3" s="1">
        <f t="shared" ref="AB3:AB65" si="2">AVERAGE(W3,X3,Y3,AA3)</f>
        <v>103.425</v>
      </c>
      <c r="AC3">
        <v>102.9</v>
      </c>
      <c r="AD3">
        <v>103.5</v>
      </c>
      <c r="AE3">
        <v>104.3</v>
      </c>
      <c r="AF3">
        <f t="shared" si="0"/>
        <v>104.19999999999999</v>
      </c>
      <c r="AG3">
        <v>103.7</v>
      </c>
      <c r="AH3">
        <v>104</v>
      </c>
      <c r="AI3">
        <f t="shared" si="1"/>
        <v>103.85</v>
      </c>
    </row>
    <row r="4" spans="1:35" x14ac:dyDescent="0.25">
      <c r="A4" t="s">
        <v>31</v>
      </c>
      <c r="B4">
        <v>2013</v>
      </c>
      <c r="C4" t="s">
        <v>29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 s="1">
        <f>AVERAGE(Table1[[#This Row],[Cereals and products]:[Food and beverages]])</f>
        <v>105.63846153846156</v>
      </c>
      <c r="R4">
        <v>105.1</v>
      </c>
      <c r="S4">
        <v>106.3</v>
      </c>
      <c r="T4">
        <v>105.5</v>
      </c>
      <c r="U4">
        <v>106.2</v>
      </c>
      <c r="V4" s="1">
        <f>AVERAGE(Table1[[#This Row],[Clothing]:[Clothing and footwear]])</f>
        <v>106</v>
      </c>
      <c r="W4">
        <v>100.3</v>
      </c>
      <c r="X4">
        <v>105.5</v>
      </c>
      <c r="Y4">
        <v>104.8</v>
      </c>
      <c r="Z4">
        <v>104</v>
      </c>
      <c r="AA4">
        <v>103.2</v>
      </c>
      <c r="AB4" s="1">
        <f t="shared" si="2"/>
        <v>103.45</v>
      </c>
      <c r="AC4">
        <v>103.1</v>
      </c>
      <c r="AD4">
        <v>103.6</v>
      </c>
      <c r="AE4">
        <v>104.5</v>
      </c>
      <c r="AF4">
        <f t="shared" si="0"/>
        <v>104.25</v>
      </c>
      <c r="AG4">
        <v>103.9</v>
      </c>
      <c r="AH4">
        <v>104.6</v>
      </c>
      <c r="AI4">
        <f t="shared" si="1"/>
        <v>104.25</v>
      </c>
    </row>
    <row r="5" spans="1:35" x14ac:dyDescent="0.25">
      <c r="A5" t="s">
        <v>28</v>
      </c>
      <c r="B5">
        <v>2013</v>
      </c>
      <c r="C5" t="s">
        <v>32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 s="1">
        <f>AVERAGE(Table1[[#This Row],[Cereals and products]:[Food and beverages]])</f>
        <v>106.18461538461537</v>
      </c>
      <c r="R5">
        <v>105.6</v>
      </c>
      <c r="S5">
        <v>107.1</v>
      </c>
      <c r="T5">
        <v>106.3</v>
      </c>
      <c r="U5">
        <v>107</v>
      </c>
      <c r="V5" s="1">
        <f>AVERAGE(Table1[[#This Row],[Clothing]:[Clothing and footwear]])</f>
        <v>106.8</v>
      </c>
      <c r="X5">
        <v>106.2</v>
      </c>
      <c r="Y5">
        <v>105.2</v>
      </c>
      <c r="Z5">
        <v>104.4</v>
      </c>
      <c r="AA5">
        <v>103.9</v>
      </c>
      <c r="AB5" s="1">
        <f t="shared" si="2"/>
        <v>105.10000000000001</v>
      </c>
      <c r="AC5">
        <v>104</v>
      </c>
      <c r="AD5">
        <v>104.1</v>
      </c>
      <c r="AE5">
        <v>104.6</v>
      </c>
      <c r="AF5">
        <f t="shared" si="0"/>
        <v>104.5</v>
      </c>
      <c r="AG5">
        <v>104.4</v>
      </c>
      <c r="AH5">
        <v>105.8</v>
      </c>
      <c r="AI5">
        <f t="shared" si="1"/>
        <v>105.1</v>
      </c>
    </row>
    <row r="6" spans="1:35" x14ac:dyDescent="0.25">
      <c r="A6" t="s">
        <v>30</v>
      </c>
      <c r="B6">
        <v>2013</v>
      </c>
      <c r="C6" t="s">
        <v>32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 s="1">
        <f>AVERAGE(Table1[[#This Row],[Cereals and products]:[Food and beverages]])</f>
        <v>106.96923076923078</v>
      </c>
      <c r="R6">
        <v>106</v>
      </c>
      <c r="S6">
        <v>106.6</v>
      </c>
      <c r="T6">
        <v>105.5</v>
      </c>
      <c r="U6">
        <v>106.4</v>
      </c>
      <c r="V6" s="1">
        <f>AVERAGE(Table1[[#This Row],[Clothing]:[Clothing and footwear]])</f>
        <v>106.16666666666667</v>
      </c>
      <c r="W6">
        <v>100.4</v>
      </c>
      <c r="X6">
        <v>105.7</v>
      </c>
      <c r="Y6">
        <v>105.2</v>
      </c>
      <c r="Z6">
        <v>104.7</v>
      </c>
      <c r="AA6">
        <v>104.4</v>
      </c>
      <c r="AB6" s="1">
        <f t="shared" si="2"/>
        <v>103.92500000000001</v>
      </c>
      <c r="AC6">
        <v>103.3</v>
      </c>
      <c r="AD6">
        <v>103.7</v>
      </c>
      <c r="AE6">
        <v>104.3</v>
      </c>
      <c r="AF6">
        <f t="shared" si="0"/>
        <v>104.5</v>
      </c>
      <c r="AG6">
        <v>104.3</v>
      </c>
      <c r="AH6">
        <v>104.7</v>
      </c>
      <c r="AI6">
        <f t="shared" si="1"/>
        <v>104.5</v>
      </c>
    </row>
    <row r="7" spans="1:35" x14ac:dyDescent="0.25">
      <c r="A7" t="s">
        <v>31</v>
      </c>
      <c r="B7">
        <v>2013</v>
      </c>
      <c r="C7" t="s">
        <v>32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 s="1">
        <f>AVERAGE(Table1[[#This Row],[Cereals and products]:[Food and beverages]])</f>
        <v>106.47692307692309</v>
      </c>
      <c r="R7">
        <v>105.7</v>
      </c>
      <c r="S7">
        <v>106.9</v>
      </c>
      <c r="T7">
        <v>106</v>
      </c>
      <c r="U7">
        <v>106.8</v>
      </c>
      <c r="V7" s="1">
        <f>AVERAGE(Table1[[#This Row],[Clothing]:[Clothing and footwear]])</f>
        <v>106.56666666666666</v>
      </c>
      <c r="W7">
        <v>100.4</v>
      </c>
      <c r="X7">
        <v>106</v>
      </c>
      <c r="Y7">
        <v>105.2</v>
      </c>
      <c r="Z7">
        <v>104.5</v>
      </c>
      <c r="AA7">
        <v>104.2</v>
      </c>
      <c r="AB7" s="1">
        <f t="shared" si="2"/>
        <v>103.95</v>
      </c>
      <c r="AC7">
        <v>103.6</v>
      </c>
      <c r="AD7">
        <v>103.9</v>
      </c>
      <c r="AE7">
        <v>104.5</v>
      </c>
      <c r="AF7">
        <f t="shared" si="0"/>
        <v>104.5</v>
      </c>
      <c r="AG7">
        <v>104.4</v>
      </c>
      <c r="AH7">
        <v>105.3</v>
      </c>
      <c r="AI7">
        <f t="shared" si="1"/>
        <v>104.85</v>
      </c>
    </row>
    <row r="8" spans="1:35" x14ac:dyDescent="0.25">
      <c r="A8" t="s">
        <v>28</v>
      </c>
      <c r="B8">
        <v>2013</v>
      </c>
      <c r="C8" t="s">
        <v>33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 s="1">
        <f>AVERAGE(Table1[[#This Row],[Cereals and products]:[Food and beverages]])</f>
        <v>106.32307692307693</v>
      </c>
      <c r="R8">
        <v>106.5</v>
      </c>
      <c r="S8">
        <v>107.6</v>
      </c>
      <c r="T8">
        <v>106.8</v>
      </c>
      <c r="U8">
        <v>107.5</v>
      </c>
      <c r="V8" s="1">
        <f>AVERAGE(Table1[[#This Row],[Clothing]:[Clothing and footwear]])</f>
        <v>107.3</v>
      </c>
      <c r="X8">
        <v>106.1</v>
      </c>
      <c r="Y8">
        <v>105.6</v>
      </c>
      <c r="Z8">
        <v>104.7</v>
      </c>
      <c r="AA8">
        <v>104.6</v>
      </c>
      <c r="AB8" s="1">
        <f t="shared" si="2"/>
        <v>105.43333333333332</v>
      </c>
      <c r="AC8">
        <v>104</v>
      </c>
      <c r="AD8">
        <v>104.3</v>
      </c>
      <c r="AE8">
        <v>104.3</v>
      </c>
      <c r="AF8">
        <f t="shared" si="0"/>
        <v>104.5</v>
      </c>
      <c r="AG8">
        <v>104.6</v>
      </c>
      <c r="AH8">
        <v>106</v>
      </c>
      <c r="AI8">
        <f t="shared" si="1"/>
        <v>105.3</v>
      </c>
    </row>
    <row r="9" spans="1:35" x14ac:dyDescent="0.25">
      <c r="A9" t="s">
        <v>30</v>
      </c>
      <c r="B9">
        <v>2013</v>
      </c>
      <c r="C9" t="s">
        <v>33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 s="1">
        <f>AVERAGE(Table1[[#This Row],[Cereals and products]:[Food and beverages]])</f>
        <v>106.67692307692307</v>
      </c>
      <c r="R9">
        <v>106.8</v>
      </c>
      <c r="S9">
        <v>107.2</v>
      </c>
      <c r="T9">
        <v>106</v>
      </c>
      <c r="U9">
        <v>107</v>
      </c>
      <c r="V9" s="1">
        <f>AVERAGE(Table1[[#This Row],[Clothing]:[Clothing and footwear]])</f>
        <v>106.73333333333333</v>
      </c>
      <c r="W9">
        <v>100.4</v>
      </c>
      <c r="X9">
        <v>106</v>
      </c>
      <c r="Y9">
        <v>105.7</v>
      </c>
      <c r="Z9">
        <v>105.2</v>
      </c>
      <c r="AA9">
        <v>105.5</v>
      </c>
      <c r="AB9" s="1">
        <f t="shared" si="2"/>
        <v>104.4</v>
      </c>
      <c r="AC9">
        <v>103.5</v>
      </c>
      <c r="AD9">
        <v>103.8</v>
      </c>
      <c r="AE9">
        <v>104.2</v>
      </c>
      <c r="AF9">
        <f t="shared" si="0"/>
        <v>104.7</v>
      </c>
      <c r="AG9">
        <v>104.9</v>
      </c>
      <c r="AH9">
        <v>105</v>
      </c>
      <c r="AI9">
        <f t="shared" si="1"/>
        <v>104.95</v>
      </c>
    </row>
    <row r="10" spans="1:35" x14ac:dyDescent="0.25">
      <c r="A10" t="s">
        <v>31</v>
      </c>
      <c r="B10">
        <v>2013</v>
      </c>
      <c r="C10" t="s">
        <v>33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 s="1">
        <f>AVERAGE(Table1[[#This Row],[Cereals and products]:[Food and beverages]])</f>
        <v>106.46153846153848</v>
      </c>
      <c r="R10">
        <v>106.6</v>
      </c>
      <c r="S10">
        <v>107.4</v>
      </c>
      <c r="T10">
        <v>106.5</v>
      </c>
      <c r="U10">
        <v>107.3</v>
      </c>
      <c r="V10" s="1">
        <f>AVERAGE(Table1[[#This Row],[Clothing]:[Clothing and footwear]])</f>
        <v>107.06666666666666</v>
      </c>
      <c r="W10">
        <v>100.4</v>
      </c>
      <c r="X10">
        <v>106.1</v>
      </c>
      <c r="Y10">
        <v>105.6</v>
      </c>
      <c r="Z10">
        <v>104.9</v>
      </c>
      <c r="AA10">
        <v>105.1</v>
      </c>
      <c r="AB10" s="1">
        <f t="shared" si="2"/>
        <v>104.30000000000001</v>
      </c>
      <c r="AC10">
        <v>103.7</v>
      </c>
      <c r="AD10">
        <v>104</v>
      </c>
      <c r="AE10">
        <v>104.3</v>
      </c>
      <c r="AF10">
        <f t="shared" si="0"/>
        <v>104.6</v>
      </c>
      <c r="AG10">
        <v>104.7</v>
      </c>
      <c r="AH10">
        <v>105.5</v>
      </c>
      <c r="AI10">
        <f t="shared" si="1"/>
        <v>105.1</v>
      </c>
    </row>
    <row r="11" spans="1:35" x14ac:dyDescent="0.25">
      <c r="A11" t="s">
        <v>28</v>
      </c>
      <c r="B11">
        <v>2013</v>
      </c>
      <c r="C11" t="s">
        <v>34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 s="1">
        <f>AVERAGE(Table1[[#This Row],[Cereals and products]:[Food and beverages]])</f>
        <v>106.6</v>
      </c>
      <c r="R11">
        <v>107.1</v>
      </c>
      <c r="S11">
        <v>108.1</v>
      </c>
      <c r="T11">
        <v>107.4</v>
      </c>
      <c r="U11">
        <v>108</v>
      </c>
      <c r="V11" s="1">
        <f>AVERAGE(Table1[[#This Row],[Clothing]:[Clothing and footwear]])</f>
        <v>107.83333333333333</v>
      </c>
      <c r="X11">
        <v>106.5</v>
      </c>
      <c r="Y11">
        <v>106.1</v>
      </c>
      <c r="Z11">
        <v>105.1</v>
      </c>
      <c r="AA11">
        <v>104.4</v>
      </c>
      <c r="AB11" s="1">
        <f t="shared" si="2"/>
        <v>105.66666666666667</v>
      </c>
      <c r="AC11">
        <v>104.5</v>
      </c>
      <c r="AD11">
        <v>104.8</v>
      </c>
      <c r="AE11">
        <v>102.7</v>
      </c>
      <c r="AF11">
        <f t="shared" si="0"/>
        <v>103.9</v>
      </c>
      <c r="AG11">
        <v>104.6</v>
      </c>
      <c r="AH11">
        <v>106.4</v>
      </c>
      <c r="AI11">
        <f t="shared" si="1"/>
        <v>105.5</v>
      </c>
    </row>
    <row r="12" spans="1:35" x14ac:dyDescent="0.25">
      <c r="A12" t="s">
        <v>30</v>
      </c>
      <c r="B12">
        <v>2013</v>
      </c>
      <c r="C12" t="s">
        <v>34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 s="1">
        <f>AVERAGE(Table1[[#This Row],[Cereals and products]:[Food and beverages]])</f>
        <v>107.5153846153846</v>
      </c>
      <c r="R12">
        <v>108.5</v>
      </c>
      <c r="S12">
        <v>107.9</v>
      </c>
      <c r="T12">
        <v>106.4</v>
      </c>
      <c r="U12">
        <v>107.7</v>
      </c>
      <c r="V12" s="1">
        <f>AVERAGE(Table1[[#This Row],[Clothing]:[Clothing and footwear]])</f>
        <v>107.33333333333333</v>
      </c>
      <c r="W12">
        <v>100.5</v>
      </c>
      <c r="X12">
        <v>106.4</v>
      </c>
      <c r="Y12">
        <v>106.5</v>
      </c>
      <c r="Z12">
        <v>105.7</v>
      </c>
      <c r="AA12">
        <v>105</v>
      </c>
      <c r="AB12" s="1">
        <f t="shared" si="2"/>
        <v>104.6</v>
      </c>
      <c r="AC12">
        <v>104</v>
      </c>
      <c r="AD12">
        <v>105.2</v>
      </c>
      <c r="AE12">
        <v>103.2</v>
      </c>
      <c r="AF12">
        <f t="shared" si="0"/>
        <v>104.45</v>
      </c>
      <c r="AG12">
        <v>105.1</v>
      </c>
      <c r="AH12">
        <v>105.7</v>
      </c>
      <c r="AI12">
        <f t="shared" si="1"/>
        <v>105.4</v>
      </c>
    </row>
    <row r="13" spans="1:35" x14ac:dyDescent="0.25">
      <c r="A13" t="s">
        <v>31</v>
      </c>
      <c r="B13">
        <v>2013</v>
      </c>
      <c r="C13" t="s">
        <v>34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 s="1">
        <f>AVERAGE(Table1[[#This Row],[Cereals and products]:[Food and beverages]])</f>
        <v>106.93846153846154</v>
      </c>
      <c r="R13">
        <v>107.5</v>
      </c>
      <c r="S13">
        <v>108</v>
      </c>
      <c r="T13">
        <v>107</v>
      </c>
      <c r="U13">
        <v>107.9</v>
      </c>
      <c r="V13" s="1">
        <f>AVERAGE(Table1[[#This Row],[Clothing]:[Clothing and footwear]])</f>
        <v>107.63333333333333</v>
      </c>
      <c r="W13">
        <v>100.5</v>
      </c>
      <c r="X13">
        <v>106.5</v>
      </c>
      <c r="Y13">
        <v>106.3</v>
      </c>
      <c r="Z13">
        <v>105.3</v>
      </c>
      <c r="AA13">
        <v>104.7</v>
      </c>
      <c r="AB13" s="1">
        <f t="shared" si="2"/>
        <v>104.5</v>
      </c>
      <c r="AC13">
        <v>104.2</v>
      </c>
      <c r="AD13">
        <v>105</v>
      </c>
      <c r="AE13">
        <v>102.9</v>
      </c>
      <c r="AF13">
        <f t="shared" si="0"/>
        <v>104.1</v>
      </c>
      <c r="AG13">
        <v>104.8</v>
      </c>
      <c r="AH13">
        <v>106.1</v>
      </c>
      <c r="AI13">
        <f t="shared" si="1"/>
        <v>105.44999999999999</v>
      </c>
    </row>
    <row r="14" spans="1:35" x14ac:dyDescent="0.25">
      <c r="A14" t="s">
        <v>28</v>
      </c>
      <c r="B14">
        <v>2013</v>
      </c>
      <c r="C14" t="s">
        <v>35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 s="1">
        <f>AVERAGE(Table1[[#This Row],[Cereals and products]:[Food and beverages]])</f>
        <v>107.23076923076923</v>
      </c>
      <c r="R14">
        <v>108.1</v>
      </c>
      <c r="S14">
        <v>108.8</v>
      </c>
      <c r="T14">
        <v>107.9</v>
      </c>
      <c r="U14">
        <v>108.6</v>
      </c>
      <c r="V14" s="1">
        <f>AVERAGE(Table1[[#This Row],[Clothing]:[Clothing and footwear]])</f>
        <v>108.43333333333332</v>
      </c>
      <c r="X14">
        <v>107.5</v>
      </c>
      <c r="Y14">
        <v>106.8</v>
      </c>
      <c r="Z14">
        <v>105.7</v>
      </c>
      <c r="AA14">
        <v>104.1</v>
      </c>
      <c r="AB14" s="1">
        <f t="shared" si="2"/>
        <v>106.13333333333333</v>
      </c>
      <c r="AC14">
        <v>105</v>
      </c>
      <c r="AD14">
        <v>105.5</v>
      </c>
      <c r="AE14">
        <v>102.1</v>
      </c>
      <c r="AF14">
        <f t="shared" si="0"/>
        <v>103.9</v>
      </c>
      <c r="AG14">
        <v>104.8</v>
      </c>
      <c r="AH14">
        <v>107.2</v>
      </c>
      <c r="AI14">
        <f t="shared" si="1"/>
        <v>106</v>
      </c>
    </row>
    <row r="15" spans="1:35" x14ac:dyDescent="0.25">
      <c r="A15" t="s">
        <v>30</v>
      </c>
      <c r="B15">
        <v>2013</v>
      </c>
      <c r="C15" t="s">
        <v>35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 s="1">
        <f>AVERAGE(Table1[[#This Row],[Cereals and products]:[Food and beverages]])</f>
        <v>109.0153846153846</v>
      </c>
      <c r="R15">
        <v>109.8</v>
      </c>
      <c r="S15">
        <v>108.5</v>
      </c>
      <c r="T15">
        <v>106.7</v>
      </c>
      <c r="U15">
        <v>108.3</v>
      </c>
      <c r="V15" s="1">
        <f>AVERAGE(Table1[[#This Row],[Clothing]:[Clothing and footwear]])</f>
        <v>107.83333333333333</v>
      </c>
      <c r="W15">
        <v>100.5</v>
      </c>
      <c r="X15">
        <v>107.2</v>
      </c>
      <c r="Y15">
        <v>107.1</v>
      </c>
      <c r="Z15">
        <v>106.2</v>
      </c>
      <c r="AA15">
        <v>103.9</v>
      </c>
      <c r="AB15" s="1">
        <f t="shared" si="2"/>
        <v>104.67499999999998</v>
      </c>
      <c r="AC15">
        <v>104.6</v>
      </c>
      <c r="AD15">
        <v>105.7</v>
      </c>
      <c r="AE15">
        <v>102.6</v>
      </c>
      <c r="AF15">
        <f t="shared" si="0"/>
        <v>104.4</v>
      </c>
      <c r="AG15">
        <v>104.9</v>
      </c>
      <c r="AH15">
        <v>106.6</v>
      </c>
      <c r="AI15">
        <f t="shared" si="1"/>
        <v>105.75</v>
      </c>
    </row>
    <row r="16" spans="1:35" x14ac:dyDescent="0.25">
      <c r="A16" t="s">
        <v>31</v>
      </c>
      <c r="B16">
        <v>2013</v>
      </c>
      <c r="C16" t="s">
        <v>35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 s="1">
        <f>AVERAGE(Table1[[#This Row],[Cereals and products]:[Food and beverages]])</f>
        <v>107.86153846153844</v>
      </c>
      <c r="R16">
        <v>108.6</v>
      </c>
      <c r="S16">
        <v>108.7</v>
      </c>
      <c r="T16">
        <v>107.4</v>
      </c>
      <c r="U16">
        <v>108.5</v>
      </c>
      <c r="V16" s="1">
        <f>AVERAGE(Table1[[#This Row],[Clothing]:[Clothing and footwear]])</f>
        <v>108.2</v>
      </c>
      <c r="W16">
        <v>100.5</v>
      </c>
      <c r="X16">
        <v>107.4</v>
      </c>
      <c r="Y16">
        <v>106.9</v>
      </c>
      <c r="Z16">
        <v>105.9</v>
      </c>
      <c r="AA16">
        <v>104</v>
      </c>
      <c r="AB16" s="1">
        <f t="shared" si="2"/>
        <v>104.7</v>
      </c>
      <c r="AC16">
        <v>104.8</v>
      </c>
      <c r="AD16">
        <v>105.6</v>
      </c>
      <c r="AE16">
        <v>102.3</v>
      </c>
      <c r="AF16">
        <f t="shared" si="0"/>
        <v>104.1</v>
      </c>
      <c r="AG16">
        <v>104.8</v>
      </c>
      <c r="AH16">
        <v>106.9</v>
      </c>
      <c r="AI16">
        <f t="shared" si="1"/>
        <v>105.85</v>
      </c>
    </row>
    <row r="17" spans="1:35" x14ac:dyDescent="0.25">
      <c r="A17" t="s">
        <v>28</v>
      </c>
      <c r="B17">
        <v>2013</v>
      </c>
      <c r="C17" t="s">
        <v>36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 s="1">
        <f>AVERAGE(Table1[[#This Row],[Cereals and products]:[Food and beverages]])</f>
        <v>109.23076923076923</v>
      </c>
      <c r="R17">
        <v>109</v>
      </c>
      <c r="S17">
        <v>109.7</v>
      </c>
      <c r="T17">
        <v>108.8</v>
      </c>
      <c r="U17">
        <v>109.5</v>
      </c>
      <c r="V17" s="1">
        <f>AVERAGE(Table1[[#This Row],[Clothing]:[Clothing and footwear]])</f>
        <v>109.33333333333333</v>
      </c>
      <c r="X17">
        <v>108.5</v>
      </c>
      <c r="Y17">
        <v>107.5</v>
      </c>
      <c r="Z17">
        <v>106.3</v>
      </c>
      <c r="AA17">
        <v>105</v>
      </c>
      <c r="AB17" s="1">
        <f t="shared" si="2"/>
        <v>107</v>
      </c>
      <c r="AC17">
        <v>105.6</v>
      </c>
      <c r="AD17">
        <v>106.5</v>
      </c>
      <c r="AE17">
        <v>102.5</v>
      </c>
      <c r="AF17">
        <f t="shared" si="0"/>
        <v>104.4</v>
      </c>
      <c r="AG17">
        <v>105.5</v>
      </c>
      <c r="AH17">
        <v>108.9</v>
      </c>
      <c r="AI17">
        <f t="shared" si="1"/>
        <v>107.2</v>
      </c>
    </row>
    <row r="18" spans="1:35" x14ac:dyDescent="0.25">
      <c r="A18" t="s">
        <v>30</v>
      </c>
      <c r="B18">
        <v>2013</v>
      </c>
      <c r="C18" t="s">
        <v>36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 s="1">
        <f>AVERAGE(Table1[[#This Row],[Cereals and products]:[Food and beverages]])</f>
        <v>112.66153846153847</v>
      </c>
      <c r="R18">
        <v>110.9</v>
      </c>
      <c r="S18">
        <v>109.2</v>
      </c>
      <c r="T18">
        <v>107.2</v>
      </c>
      <c r="U18">
        <v>108.9</v>
      </c>
      <c r="V18" s="1">
        <f>AVERAGE(Table1[[#This Row],[Clothing]:[Clothing and footwear]])</f>
        <v>108.43333333333334</v>
      </c>
      <c r="W18">
        <v>106.6</v>
      </c>
      <c r="X18">
        <v>108</v>
      </c>
      <c r="Y18">
        <v>107.7</v>
      </c>
      <c r="Z18">
        <v>106.5</v>
      </c>
      <c r="AA18">
        <v>105.2</v>
      </c>
      <c r="AB18" s="1">
        <f t="shared" si="2"/>
        <v>106.875</v>
      </c>
      <c r="AC18">
        <v>105.2</v>
      </c>
      <c r="AD18">
        <v>108.1</v>
      </c>
      <c r="AE18">
        <v>103.3</v>
      </c>
      <c r="AF18">
        <f t="shared" si="0"/>
        <v>104.9</v>
      </c>
      <c r="AG18">
        <v>106.1</v>
      </c>
      <c r="AH18">
        <v>109.7</v>
      </c>
      <c r="AI18">
        <f t="shared" si="1"/>
        <v>107.9</v>
      </c>
    </row>
    <row r="19" spans="1:35" x14ac:dyDescent="0.25">
      <c r="A19" t="s">
        <v>31</v>
      </c>
      <c r="B19">
        <v>2013</v>
      </c>
      <c r="C19" t="s">
        <v>36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 s="1">
        <f>AVERAGE(Table1[[#This Row],[Cereals and products]:[Food and beverages]])</f>
        <v>110.46153846153847</v>
      </c>
      <c r="R19">
        <v>109.5</v>
      </c>
      <c r="S19">
        <v>109.5</v>
      </c>
      <c r="T19">
        <v>108.1</v>
      </c>
      <c r="U19">
        <v>109.3</v>
      </c>
      <c r="V19" s="1">
        <f>AVERAGE(Table1[[#This Row],[Clothing]:[Clothing and footwear]])</f>
        <v>108.96666666666665</v>
      </c>
      <c r="W19">
        <v>106.6</v>
      </c>
      <c r="X19">
        <v>108.3</v>
      </c>
      <c r="Y19">
        <v>107.6</v>
      </c>
      <c r="Z19">
        <v>106.4</v>
      </c>
      <c r="AA19">
        <v>105.1</v>
      </c>
      <c r="AB19" s="1">
        <f t="shared" si="2"/>
        <v>106.9</v>
      </c>
      <c r="AC19">
        <v>105.4</v>
      </c>
      <c r="AD19">
        <v>107.4</v>
      </c>
      <c r="AE19">
        <v>102.8</v>
      </c>
      <c r="AF19">
        <f t="shared" si="0"/>
        <v>104.6</v>
      </c>
      <c r="AG19">
        <v>105.8</v>
      </c>
      <c r="AH19">
        <v>109.3</v>
      </c>
      <c r="AI19">
        <f t="shared" si="1"/>
        <v>107.55</v>
      </c>
    </row>
    <row r="20" spans="1:35" x14ac:dyDescent="0.25">
      <c r="A20" t="s">
        <v>28</v>
      </c>
      <c r="B20">
        <v>2013</v>
      </c>
      <c r="C20" t="s">
        <v>37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 s="1">
        <f>AVERAGE(Table1[[#This Row],[Cereals and products]:[Food and beverages]])</f>
        <v>111.22307692307689</v>
      </c>
      <c r="R20">
        <v>109.8</v>
      </c>
      <c r="S20">
        <v>110.5</v>
      </c>
      <c r="T20">
        <v>109.5</v>
      </c>
      <c r="U20">
        <v>110.3</v>
      </c>
      <c r="V20" s="1">
        <f>AVERAGE(Table1[[#This Row],[Clothing]:[Clothing and footwear]])</f>
        <v>110.10000000000001</v>
      </c>
      <c r="X20">
        <v>109.5</v>
      </c>
      <c r="Y20">
        <v>108.3</v>
      </c>
      <c r="Z20">
        <v>106.9</v>
      </c>
      <c r="AA20">
        <v>106.8</v>
      </c>
      <c r="AB20" s="1">
        <f t="shared" si="2"/>
        <v>108.2</v>
      </c>
      <c r="AC20">
        <v>106.4</v>
      </c>
      <c r="AD20">
        <v>107.8</v>
      </c>
      <c r="AE20">
        <v>102.5</v>
      </c>
      <c r="AF20">
        <f t="shared" si="0"/>
        <v>104.7</v>
      </c>
      <c r="AG20">
        <v>106.5</v>
      </c>
      <c r="AH20">
        <v>110.7</v>
      </c>
      <c r="AI20">
        <f t="shared" si="1"/>
        <v>108.6</v>
      </c>
    </row>
    <row r="21" spans="1:35" x14ac:dyDescent="0.25">
      <c r="A21" t="s">
        <v>30</v>
      </c>
      <c r="B21">
        <v>2013</v>
      </c>
      <c r="C21" t="s">
        <v>37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 s="1">
        <f>AVERAGE(Table1[[#This Row],[Cereals and products]:[Food and beverages]])</f>
        <v>114.56923076923077</v>
      </c>
      <c r="R21">
        <v>111.7</v>
      </c>
      <c r="S21">
        <v>109.8</v>
      </c>
      <c r="T21">
        <v>107.8</v>
      </c>
      <c r="U21">
        <v>109.5</v>
      </c>
      <c r="V21" s="1">
        <f>AVERAGE(Table1[[#This Row],[Clothing]:[Clothing and footwear]])</f>
        <v>109.03333333333335</v>
      </c>
      <c r="W21">
        <v>107.7</v>
      </c>
      <c r="X21">
        <v>108.6</v>
      </c>
      <c r="Y21">
        <v>108.1</v>
      </c>
      <c r="Z21">
        <v>107.1</v>
      </c>
      <c r="AA21">
        <v>107.3</v>
      </c>
      <c r="AB21" s="1">
        <f t="shared" si="2"/>
        <v>107.925</v>
      </c>
      <c r="AC21">
        <v>105.9</v>
      </c>
      <c r="AD21">
        <v>110.1</v>
      </c>
      <c r="AE21">
        <v>103.2</v>
      </c>
      <c r="AF21">
        <f t="shared" si="0"/>
        <v>105.15</v>
      </c>
      <c r="AG21">
        <v>107.3</v>
      </c>
      <c r="AH21">
        <v>111.4</v>
      </c>
      <c r="AI21">
        <f t="shared" si="1"/>
        <v>109.35</v>
      </c>
    </row>
    <row r="22" spans="1:35" x14ac:dyDescent="0.25">
      <c r="A22" t="s">
        <v>31</v>
      </c>
      <c r="B22">
        <v>2013</v>
      </c>
      <c r="C22" t="s">
        <v>37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 s="1">
        <f>AVERAGE(Table1[[#This Row],[Cereals and products]:[Food and beverages]])</f>
        <v>112.41538461538461</v>
      </c>
      <c r="R22">
        <v>110.3</v>
      </c>
      <c r="S22">
        <v>110.2</v>
      </c>
      <c r="T22">
        <v>108.8</v>
      </c>
      <c r="U22">
        <v>110</v>
      </c>
      <c r="V22" s="1">
        <f>AVERAGE(Table1[[#This Row],[Clothing]:[Clothing and footwear]])</f>
        <v>109.66666666666667</v>
      </c>
      <c r="W22">
        <v>107.7</v>
      </c>
      <c r="X22">
        <v>109.2</v>
      </c>
      <c r="Y22">
        <v>108.2</v>
      </c>
      <c r="Z22">
        <v>107</v>
      </c>
      <c r="AA22">
        <v>107.1</v>
      </c>
      <c r="AB22" s="1">
        <f t="shared" si="2"/>
        <v>108.05000000000001</v>
      </c>
      <c r="AC22">
        <v>106.1</v>
      </c>
      <c r="AD22">
        <v>109.1</v>
      </c>
      <c r="AE22">
        <v>102.8</v>
      </c>
      <c r="AF22">
        <f t="shared" si="0"/>
        <v>104.9</v>
      </c>
      <c r="AG22">
        <v>106.9</v>
      </c>
      <c r="AH22">
        <v>111</v>
      </c>
      <c r="AI22">
        <f t="shared" si="1"/>
        <v>108.95</v>
      </c>
    </row>
    <row r="23" spans="1:35" x14ac:dyDescent="0.25">
      <c r="A23" t="s">
        <v>28</v>
      </c>
      <c r="B23">
        <v>2013</v>
      </c>
      <c r="C23" t="s">
        <v>38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 s="1">
        <f>AVERAGE(Table1[[#This Row],[Cereals and products]:[Food and beverages]])</f>
        <v>112.5</v>
      </c>
      <c r="R23">
        <v>110.7</v>
      </c>
      <c r="S23">
        <v>111.3</v>
      </c>
      <c r="T23">
        <v>110.2</v>
      </c>
      <c r="U23">
        <v>111.1</v>
      </c>
      <c r="V23" s="1">
        <f>AVERAGE(Table1[[#This Row],[Clothing]:[Clothing and footwear]])</f>
        <v>110.86666666666667</v>
      </c>
      <c r="X23">
        <v>109.9</v>
      </c>
      <c r="Y23">
        <v>108.7</v>
      </c>
      <c r="Z23">
        <v>107.5</v>
      </c>
      <c r="AA23">
        <v>107.8</v>
      </c>
      <c r="AB23" s="1">
        <f t="shared" si="2"/>
        <v>108.80000000000001</v>
      </c>
      <c r="AC23">
        <v>106.8</v>
      </c>
      <c r="AD23">
        <v>108.7</v>
      </c>
      <c r="AE23">
        <v>105</v>
      </c>
      <c r="AF23">
        <f t="shared" si="0"/>
        <v>106.25</v>
      </c>
      <c r="AG23">
        <v>107.5</v>
      </c>
      <c r="AH23">
        <v>112.1</v>
      </c>
      <c r="AI23">
        <f t="shared" si="1"/>
        <v>109.8</v>
      </c>
    </row>
    <row r="24" spans="1:35" x14ac:dyDescent="0.25">
      <c r="A24" t="s">
        <v>30</v>
      </c>
      <c r="B24">
        <v>2013</v>
      </c>
      <c r="C24" t="s">
        <v>38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 s="1">
        <f>AVERAGE(Table1[[#This Row],[Cereals and products]:[Food and beverages]])</f>
        <v>115.85384615384616</v>
      </c>
      <c r="R24">
        <v>112.4</v>
      </c>
      <c r="S24">
        <v>110.6</v>
      </c>
      <c r="T24">
        <v>108.3</v>
      </c>
      <c r="U24">
        <v>110.2</v>
      </c>
      <c r="V24" s="1">
        <f>AVERAGE(Table1[[#This Row],[Clothing]:[Clothing and footwear]])</f>
        <v>109.69999999999999</v>
      </c>
      <c r="W24">
        <v>108.9</v>
      </c>
      <c r="X24">
        <v>109.3</v>
      </c>
      <c r="Y24">
        <v>108.7</v>
      </c>
      <c r="Z24">
        <v>107.6</v>
      </c>
      <c r="AA24">
        <v>108.1</v>
      </c>
      <c r="AB24" s="1">
        <f t="shared" si="2"/>
        <v>108.75</v>
      </c>
      <c r="AC24">
        <v>106.5</v>
      </c>
      <c r="AD24">
        <v>110.8</v>
      </c>
      <c r="AE24">
        <v>106</v>
      </c>
      <c r="AF24">
        <f t="shared" si="0"/>
        <v>106.8</v>
      </c>
      <c r="AG24">
        <v>108.3</v>
      </c>
      <c r="AH24">
        <v>112.7</v>
      </c>
      <c r="AI24">
        <f t="shared" si="1"/>
        <v>110.5</v>
      </c>
    </row>
    <row r="25" spans="1:35" x14ac:dyDescent="0.25">
      <c r="A25" t="s">
        <v>31</v>
      </c>
      <c r="B25">
        <v>2013</v>
      </c>
      <c r="C25" t="s">
        <v>38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 s="1">
        <f>AVERAGE(Table1[[#This Row],[Cereals and products]:[Food and beverages]])</f>
        <v>113.64615384615385</v>
      </c>
      <c r="R25">
        <v>111.2</v>
      </c>
      <c r="S25">
        <v>111</v>
      </c>
      <c r="T25">
        <v>109.4</v>
      </c>
      <c r="U25">
        <v>110.7</v>
      </c>
      <c r="V25" s="1">
        <f>AVERAGE(Table1[[#This Row],[Clothing]:[Clothing and footwear]])</f>
        <v>110.36666666666667</v>
      </c>
      <c r="W25">
        <v>108.9</v>
      </c>
      <c r="X25">
        <v>109.7</v>
      </c>
      <c r="Y25">
        <v>108.7</v>
      </c>
      <c r="Z25">
        <v>107.5</v>
      </c>
      <c r="AA25">
        <v>108</v>
      </c>
      <c r="AB25" s="1">
        <f t="shared" si="2"/>
        <v>108.825</v>
      </c>
      <c r="AC25">
        <v>106.6</v>
      </c>
      <c r="AD25">
        <v>109.9</v>
      </c>
      <c r="AE25">
        <v>105.4</v>
      </c>
      <c r="AF25">
        <f t="shared" si="0"/>
        <v>106.45</v>
      </c>
      <c r="AG25">
        <v>107.9</v>
      </c>
      <c r="AH25">
        <v>112.4</v>
      </c>
      <c r="AI25">
        <f t="shared" si="1"/>
        <v>110.15</v>
      </c>
    </row>
    <row r="26" spans="1:35" x14ac:dyDescent="0.25">
      <c r="A26" t="s">
        <v>28</v>
      </c>
      <c r="B26">
        <v>2013</v>
      </c>
      <c r="C26" t="s">
        <v>39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 s="1">
        <f>AVERAGE(Table1[[#This Row],[Cereals and products]:[Food and beverages]])</f>
        <v>114.50000000000001</v>
      </c>
      <c r="R26">
        <v>111.7</v>
      </c>
      <c r="S26">
        <v>112.7</v>
      </c>
      <c r="T26">
        <v>111.4</v>
      </c>
      <c r="U26">
        <v>112.5</v>
      </c>
      <c r="V26" s="1">
        <f>AVERAGE(Table1[[#This Row],[Clothing]:[Clothing and footwear]])</f>
        <v>112.2</v>
      </c>
      <c r="X26">
        <v>111.1</v>
      </c>
      <c r="Y26">
        <v>109.6</v>
      </c>
      <c r="Z26">
        <v>108.3</v>
      </c>
      <c r="AA26">
        <v>109.3</v>
      </c>
      <c r="AB26" s="1">
        <f t="shared" si="2"/>
        <v>110</v>
      </c>
      <c r="AC26">
        <v>107.7</v>
      </c>
      <c r="AD26">
        <v>109.8</v>
      </c>
      <c r="AE26">
        <v>106.7</v>
      </c>
      <c r="AF26">
        <f t="shared" si="0"/>
        <v>107.5</v>
      </c>
      <c r="AG26">
        <v>108.7</v>
      </c>
      <c r="AH26">
        <v>114.2</v>
      </c>
      <c r="AI26">
        <f t="shared" si="1"/>
        <v>111.45</v>
      </c>
    </row>
    <row r="27" spans="1:35" x14ac:dyDescent="0.25">
      <c r="A27" t="s">
        <v>30</v>
      </c>
      <c r="B27">
        <v>2013</v>
      </c>
      <c r="C27" t="s">
        <v>39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 s="1">
        <f>AVERAGE(Table1[[#This Row],[Cereals and products]:[Food and beverages]])</f>
        <v>115.41538461538462</v>
      </c>
      <c r="R27">
        <v>112.9</v>
      </c>
      <c r="S27">
        <v>111.4</v>
      </c>
      <c r="T27">
        <v>109</v>
      </c>
      <c r="U27">
        <v>111.1</v>
      </c>
      <c r="V27" s="1">
        <f>AVERAGE(Table1[[#This Row],[Clothing]:[Clothing and footwear]])</f>
        <v>110.5</v>
      </c>
      <c r="W27">
        <v>109.7</v>
      </c>
      <c r="X27">
        <v>109.5</v>
      </c>
      <c r="Y27">
        <v>109.6</v>
      </c>
      <c r="Z27">
        <v>107.9</v>
      </c>
      <c r="AA27">
        <v>110.4</v>
      </c>
      <c r="AB27" s="1">
        <f t="shared" si="2"/>
        <v>109.79999999999998</v>
      </c>
      <c r="AC27">
        <v>107.4</v>
      </c>
      <c r="AD27">
        <v>111.2</v>
      </c>
      <c r="AE27">
        <v>106.9</v>
      </c>
      <c r="AF27">
        <f t="shared" si="0"/>
        <v>107.4</v>
      </c>
      <c r="AG27">
        <v>109.4</v>
      </c>
      <c r="AH27">
        <v>113.2</v>
      </c>
      <c r="AI27">
        <f t="shared" si="1"/>
        <v>111.30000000000001</v>
      </c>
    </row>
    <row r="28" spans="1:35" x14ac:dyDescent="0.25">
      <c r="A28" t="s">
        <v>31</v>
      </c>
      <c r="B28">
        <v>2013</v>
      </c>
      <c r="C28" t="s">
        <v>39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 s="1">
        <f>AVERAGE(Table1[[#This Row],[Cereals and products]:[Food and beverages]])</f>
        <v>114.74615384615383</v>
      </c>
      <c r="R28">
        <v>112</v>
      </c>
      <c r="S28">
        <v>112.2</v>
      </c>
      <c r="T28">
        <v>110.4</v>
      </c>
      <c r="U28">
        <v>111.9</v>
      </c>
      <c r="V28" s="1">
        <f>AVERAGE(Table1[[#This Row],[Clothing]:[Clothing and footwear]])</f>
        <v>111.5</v>
      </c>
      <c r="W28">
        <v>109.7</v>
      </c>
      <c r="X28">
        <v>110.5</v>
      </c>
      <c r="Y28">
        <v>109.6</v>
      </c>
      <c r="Z28">
        <v>108.1</v>
      </c>
      <c r="AA28">
        <v>109.9</v>
      </c>
      <c r="AB28" s="1">
        <f t="shared" si="2"/>
        <v>109.92499999999998</v>
      </c>
      <c r="AC28">
        <v>107.5</v>
      </c>
      <c r="AD28">
        <v>110.6</v>
      </c>
      <c r="AE28">
        <v>106.8</v>
      </c>
      <c r="AF28">
        <f t="shared" si="0"/>
        <v>107.44999999999999</v>
      </c>
      <c r="AG28">
        <v>109</v>
      </c>
      <c r="AH28">
        <v>113.7</v>
      </c>
      <c r="AI28">
        <f t="shared" si="1"/>
        <v>111.35</v>
      </c>
    </row>
    <row r="29" spans="1:35" x14ac:dyDescent="0.25">
      <c r="A29" t="s">
        <v>28</v>
      </c>
      <c r="B29">
        <v>2013</v>
      </c>
      <c r="C29" t="s">
        <v>40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 s="1">
        <f>AVERAGE(Table1[[#This Row],[Cereals and products]:[Food and beverages]])</f>
        <v>116</v>
      </c>
      <c r="R29">
        <v>112.2</v>
      </c>
      <c r="S29">
        <v>113.6</v>
      </c>
      <c r="T29">
        <v>112.3</v>
      </c>
      <c r="U29">
        <v>113.4</v>
      </c>
      <c r="V29" s="1">
        <f>AVERAGE(Table1[[#This Row],[Clothing]:[Clothing and footwear]])</f>
        <v>113.09999999999998</v>
      </c>
      <c r="X29">
        <v>111.6</v>
      </c>
      <c r="Y29">
        <v>110.4</v>
      </c>
      <c r="Z29">
        <v>108.9</v>
      </c>
      <c r="AA29">
        <v>109.3</v>
      </c>
      <c r="AB29" s="1">
        <f t="shared" si="2"/>
        <v>110.43333333333334</v>
      </c>
      <c r="AC29">
        <v>108.3</v>
      </c>
      <c r="AD29">
        <v>110.2</v>
      </c>
      <c r="AE29">
        <v>107.5</v>
      </c>
      <c r="AF29">
        <f t="shared" si="0"/>
        <v>108.2</v>
      </c>
      <c r="AG29">
        <v>109.1</v>
      </c>
      <c r="AH29">
        <v>115.5</v>
      </c>
      <c r="AI29">
        <f t="shared" si="1"/>
        <v>112.3</v>
      </c>
    </row>
    <row r="30" spans="1:35" x14ac:dyDescent="0.25">
      <c r="A30" t="s">
        <v>30</v>
      </c>
      <c r="B30">
        <v>2013</v>
      </c>
      <c r="C30" t="s">
        <v>40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 s="1">
        <f>AVERAGE(Table1[[#This Row],[Cereals and products]:[Food and beverages]])</f>
        <v>116.7076923076923</v>
      </c>
      <c r="R30">
        <v>113.5</v>
      </c>
      <c r="S30">
        <v>112.5</v>
      </c>
      <c r="T30">
        <v>109.7</v>
      </c>
      <c r="U30">
        <v>112</v>
      </c>
      <c r="V30" s="1">
        <f>AVERAGE(Table1[[#This Row],[Clothing]:[Clothing and footwear]])</f>
        <v>111.39999999999999</v>
      </c>
      <c r="W30">
        <v>110.5</v>
      </c>
      <c r="X30">
        <v>109.7</v>
      </c>
      <c r="Y30">
        <v>110.2</v>
      </c>
      <c r="Z30">
        <v>108.2</v>
      </c>
      <c r="AA30">
        <v>109.7</v>
      </c>
      <c r="AB30" s="1">
        <f t="shared" si="2"/>
        <v>110.02499999999999</v>
      </c>
      <c r="AC30">
        <v>108</v>
      </c>
      <c r="AD30">
        <v>111.3</v>
      </c>
      <c r="AE30">
        <v>107.3</v>
      </c>
      <c r="AF30">
        <f t="shared" si="0"/>
        <v>107.75</v>
      </c>
      <c r="AG30">
        <v>109.4</v>
      </c>
      <c r="AH30">
        <v>114</v>
      </c>
      <c r="AI30">
        <f t="shared" si="1"/>
        <v>111.7</v>
      </c>
    </row>
    <row r="31" spans="1:35" x14ac:dyDescent="0.25">
      <c r="A31" t="s">
        <v>31</v>
      </c>
      <c r="B31">
        <v>2013</v>
      </c>
      <c r="C31" t="s">
        <v>40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 s="1">
        <f>AVERAGE(Table1[[#This Row],[Cereals and products]:[Food and beverages]])</f>
        <v>116.16923076923079</v>
      </c>
      <c r="R31">
        <v>112.5</v>
      </c>
      <c r="S31">
        <v>113.2</v>
      </c>
      <c r="T31">
        <v>111.2</v>
      </c>
      <c r="U31">
        <v>112.8</v>
      </c>
      <c r="V31" s="1">
        <f>AVERAGE(Table1[[#This Row],[Clothing]:[Clothing and footwear]])</f>
        <v>112.39999999999999</v>
      </c>
      <c r="W31">
        <v>110.5</v>
      </c>
      <c r="X31">
        <v>110.9</v>
      </c>
      <c r="Y31">
        <v>110.3</v>
      </c>
      <c r="Z31">
        <v>108.6</v>
      </c>
      <c r="AA31">
        <v>109.5</v>
      </c>
      <c r="AB31" s="1">
        <f t="shared" si="2"/>
        <v>110.3</v>
      </c>
      <c r="AC31">
        <v>108.1</v>
      </c>
      <c r="AD31">
        <v>110.8</v>
      </c>
      <c r="AE31">
        <v>107.4</v>
      </c>
      <c r="AF31">
        <f t="shared" si="0"/>
        <v>108</v>
      </c>
      <c r="AG31">
        <v>109.2</v>
      </c>
      <c r="AH31">
        <v>114.8</v>
      </c>
      <c r="AI31">
        <f t="shared" si="1"/>
        <v>112</v>
      </c>
    </row>
    <row r="32" spans="1:35" x14ac:dyDescent="0.25">
      <c r="A32" t="s">
        <v>28</v>
      </c>
      <c r="B32">
        <v>2013</v>
      </c>
      <c r="C32" t="s">
        <v>41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 s="1">
        <f>AVERAGE(Table1[[#This Row],[Cereals and products]:[Food and beverages]])</f>
        <v>118.21538461538461</v>
      </c>
      <c r="R32">
        <v>112.8</v>
      </c>
      <c r="S32">
        <v>114.6</v>
      </c>
      <c r="T32">
        <v>113.1</v>
      </c>
      <c r="U32">
        <v>114.4</v>
      </c>
      <c r="V32" s="1">
        <f>AVERAGE(Table1[[#This Row],[Clothing]:[Clothing and footwear]])</f>
        <v>114.03333333333335</v>
      </c>
      <c r="X32">
        <v>112.6</v>
      </c>
      <c r="Y32">
        <v>111.3</v>
      </c>
      <c r="Z32">
        <v>109.7</v>
      </c>
      <c r="AA32">
        <v>109.6</v>
      </c>
      <c r="AB32" s="1">
        <f t="shared" si="2"/>
        <v>111.16666666666667</v>
      </c>
      <c r="AC32">
        <v>108.7</v>
      </c>
      <c r="AD32">
        <v>111</v>
      </c>
      <c r="AE32">
        <v>108.2</v>
      </c>
      <c r="AF32">
        <f t="shared" si="0"/>
        <v>108.95</v>
      </c>
      <c r="AG32">
        <v>109.8</v>
      </c>
      <c r="AH32">
        <v>117.4</v>
      </c>
      <c r="AI32">
        <f t="shared" si="1"/>
        <v>113.6</v>
      </c>
    </row>
    <row r="33" spans="1:35" x14ac:dyDescent="0.25">
      <c r="A33" t="s">
        <v>30</v>
      </c>
      <c r="B33">
        <v>2013</v>
      </c>
      <c r="C33" t="s">
        <v>42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 s="1">
        <f>AVERAGE(Table1[[#This Row],[Cereals and products]:[Food and beverages]])</f>
        <v>118.8153846153846</v>
      </c>
      <c r="R33">
        <v>114.1</v>
      </c>
      <c r="S33">
        <v>113.5</v>
      </c>
      <c r="T33">
        <v>110.3</v>
      </c>
      <c r="U33">
        <v>113</v>
      </c>
      <c r="V33" s="1">
        <f>AVERAGE(Table1[[#This Row],[Clothing]:[Clothing and footwear]])</f>
        <v>112.26666666666667</v>
      </c>
      <c r="W33">
        <v>111.1</v>
      </c>
      <c r="X33">
        <v>110</v>
      </c>
      <c r="Y33">
        <v>110.9</v>
      </c>
      <c r="Z33">
        <v>108.6</v>
      </c>
      <c r="AA33">
        <v>109.5</v>
      </c>
      <c r="AB33" s="1">
        <f t="shared" si="2"/>
        <v>110.375</v>
      </c>
      <c r="AC33">
        <v>108.5</v>
      </c>
      <c r="AD33">
        <v>111.3</v>
      </c>
      <c r="AE33">
        <v>107.9</v>
      </c>
      <c r="AF33">
        <f t="shared" si="0"/>
        <v>108.25</v>
      </c>
      <c r="AG33">
        <v>109.6</v>
      </c>
      <c r="AH33">
        <v>115</v>
      </c>
      <c r="AI33">
        <f t="shared" si="1"/>
        <v>112.3</v>
      </c>
    </row>
    <row r="34" spans="1:35" x14ac:dyDescent="0.25">
      <c r="A34" t="s">
        <v>31</v>
      </c>
      <c r="B34">
        <v>2013</v>
      </c>
      <c r="C34" t="s">
        <v>42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 s="1">
        <f>AVERAGE(Table1[[#This Row],[Cereals and products]:[Food and beverages]])</f>
        <v>118.36923076923077</v>
      </c>
      <c r="R34">
        <v>113.1</v>
      </c>
      <c r="S34">
        <v>114.2</v>
      </c>
      <c r="T34">
        <v>111.9</v>
      </c>
      <c r="U34">
        <v>113.8</v>
      </c>
      <c r="V34" s="1">
        <f>AVERAGE(Table1[[#This Row],[Clothing]:[Clothing and footwear]])</f>
        <v>113.30000000000001</v>
      </c>
      <c r="W34">
        <v>111.1</v>
      </c>
      <c r="X34">
        <v>111.6</v>
      </c>
      <c r="Y34">
        <v>111.1</v>
      </c>
      <c r="Z34">
        <v>109.3</v>
      </c>
      <c r="AA34">
        <v>109.5</v>
      </c>
      <c r="AB34" s="1">
        <f t="shared" si="2"/>
        <v>110.82499999999999</v>
      </c>
      <c r="AC34">
        <v>108.6</v>
      </c>
      <c r="AD34">
        <v>111.2</v>
      </c>
      <c r="AE34">
        <v>108.1</v>
      </c>
      <c r="AF34">
        <f t="shared" ref="AF34:AF65" si="3">AVERAGE(Z34,AE34)</f>
        <v>108.69999999999999</v>
      </c>
      <c r="AG34">
        <v>109.7</v>
      </c>
      <c r="AH34">
        <v>116.3</v>
      </c>
      <c r="AI34">
        <f t="shared" si="1"/>
        <v>113</v>
      </c>
    </row>
    <row r="35" spans="1:35" x14ac:dyDescent="0.25">
      <c r="A35" t="s">
        <v>28</v>
      </c>
      <c r="B35">
        <v>2013</v>
      </c>
      <c r="C35" t="s">
        <v>43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 s="1">
        <f>AVERAGE(Table1[[#This Row],[Cereals and products]:[Food and beverages]])</f>
        <v>116.07692307692308</v>
      </c>
      <c r="R35">
        <v>113.6</v>
      </c>
      <c r="S35">
        <v>115.8</v>
      </c>
      <c r="T35">
        <v>114</v>
      </c>
      <c r="U35">
        <v>115.5</v>
      </c>
      <c r="V35" s="1">
        <f>AVERAGE(Table1[[#This Row],[Clothing]:[Clothing and footwear]])</f>
        <v>115.10000000000001</v>
      </c>
      <c r="X35">
        <v>112.8</v>
      </c>
      <c r="Y35">
        <v>112.1</v>
      </c>
      <c r="Z35">
        <v>110.1</v>
      </c>
      <c r="AA35">
        <v>109.9</v>
      </c>
      <c r="AB35" s="1">
        <f t="shared" si="2"/>
        <v>111.59999999999998</v>
      </c>
      <c r="AC35">
        <v>109.2</v>
      </c>
      <c r="AD35">
        <v>111.6</v>
      </c>
      <c r="AE35">
        <v>108.1</v>
      </c>
      <c r="AF35">
        <f t="shared" si="3"/>
        <v>109.1</v>
      </c>
      <c r="AG35">
        <v>110.1</v>
      </c>
      <c r="AH35">
        <v>115.5</v>
      </c>
      <c r="AI35">
        <f t="shared" si="1"/>
        <v>112.8</v>
      </c>
    </row>
    <row r="36" spans="1:35" x14ac:dyDescent="0.25">
      <c r="A36" t="s">
        <v>30</v>
      </c>
      <c r="B36">
        <v>2013</v>
      </c>
      <c r="C36" t="s">
        <v>43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 s="1">
        <f>AVERAGE(Table1[[#This Row],[Cereals and products]:[Food and beverages]])</f>
        <v>115.72307692307693</v>
      </c>
      <c r="R36">
        <v>115</v>
      </c>
      <c r="S36">
        <v>114.2</v>
      </c>
      <c r="T36">
        <v>110.9</v>
      </c>
      <c r="U36">
        <v>113.7</v>
      </c>
      <c r="V36" s="1">
        <f>AVERAGE(Table1[[#This Row],[Clothing]:[Clothing and footwear]])</f>
        <v>112.93333333333334</v>
      </c>
      <c r="W36">
        <v>110.7</v>
      </c>
      <c r="X36">
        <v>110.4</v>
      </c>
      <c r="Y36">
        <v>111.3</v>
      </c>
      <c r="Z36">
        <v>109</v>
      </c>
      <c r="AA36">
        <v>109.7</v>
      </c>
      <c r="AB36" s="1">
        <f t="shared" si="2"/>
        <v>110.52500000000001</v>
      </c>
      <c r="AC36">
        <v>108.9</v>
      </c>
      <c r="AD36">
        <v>111.4</v>
      </c>
      <c r="AE36">
        <v>107.7</v>
      </c>
      <c r="AF36">
        <f t="shared" si="3"/>
        <v>108.35</v>
      </c>
      <c r="AG36">
        <v>109.8</v>
      </c>
      <c r="AH36">
        <v>113.3</v>
      </c>
      <c r="AI36">
        <f t="shared" si="1"/>
        <v>111.55</v>
      </c>
    </row>
    <row r="37" spans="1:35" x14ac:dyDescent="0.25">
      <c r="A37" t="s">
        <v>31</v>
      </c>
      <c r="B37">
        <v>2013</v>
      </c>
      <c r="C37" t="s">
        <v>43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 s="1">
        <f>AVERAGE(Table1[[#This Row],[Cereals and products]:[Food and beverages]])</f>
        <v>115.94615384615386</v>
      </c>
      <c r="R37">
        <v>114</v>
      </c>
      <c r="S37">
        <v>115.2</v>
      </c>
      <c r="T37">
        <v>112.7</v>
      </c>
      <c r="U37">
        <v>114.8</v>
      </c>
      <c r="V37" s="1">
        <f>AVERAGE(Table1[[#This Row],[Clothing]:[Clothing and footwear]])</f>
        <v>114.23333333333333</v>
      </c>
      <c r="W37">
        <v>110.7</v>
      </c>
      <c r="X37">
        <v>111.9</v>
      </c>
      <c r="Y37">
        <v>111.7</v>
      </c>
      <c r="Z37">
        <v>109.7</v>
      </c>
      <c r="AA37">
        <v>109.8</v>
      </c>
      <c r="AB37" s="1">
        <f t="shared" si="2"/>
        <v>111.02500000000001</v>
      </c>
      <c r="AC37">
        <v>109</v>
      </c>
      <c r="AD37">
        <v>111.5</v>
      </c>
      <c r="AE37">
        <v>107.9</v>
      </c>
      <c r="AF37">
        <f t="shared" si="3"/>
        <v>108.80000000000001</v>
      </c>
      <c r="AG37">
        <v>110</v>
      </c>
      <c r="AH37">
        <v>114.5</v>
      </c>
      <c r="AI37">
        <f t="shared" si="1"/>
        <v>112.25</v>
      </c>
    </row>
    <row r="38" spans="1:35" x14ac:dyDescent="0.25">
      <c r="A38" t="s">
        <v>28</v>
      </c>
      <c r="B38">
        <v>2014</v>
      </c>
      <c r="C38" t="s">
        <v>29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 s="1">
        <f>AVERAGE(Table1[[#This Row],[Cereals and products]:[Food and beverages]])</f>
        <v>114.35384615384616</v>
      </c>
      <c r="R38">
        <v>114</v>
      </c>
      <c r="S38">
        <v>116.5</v>
      </c>
      <c r="T38">
        <v>114.5</v>
      </c>
      <c r="U38">
        <v>116.2</v>
      </c>
      <c r="V38" s="1">
        <f>AVERAGE(Table1[[#This Row],[Clothing]:[Clothing and footwear]])</f>
        <v>115.73333333333333</v>
      </c>
      <c r="X38">
        <v>113</v>
      </c>
      <c r="Y38">
        <v>112.6</v>
      </c>
      <c r="Z38">
        <v>110.6</v>
      </c>
      <c r="AA38">
        <v>110.5</v>
      </c>
      <c r="AB38" s="1">
        <f t="shared" si="2"/>
        <v>112.03333333333335</v>
      </c>
      <c r="AC38">
        <v>109.6</v>
      </c>
      <c r="AD38">
        <v>111.8</v>
      </c>
      <c r="AE38">
        <v>108.3</v>
      </c>
      <c r="AF38">
        <f t="shared" si="3"/>
        <v>109.44999999999999</v>
      </c>
      <c r="AG38">
        <v>110.6</v>
      </c>
      <c r="AH38">
        <v>114.2</v>
      </c>
      <c r="AI38">
        <f t="shared" si="1"/>
        <v>112.4</v>
      </c>
    </row>
    <row r="39" spans="1:35" x14ac:dyDescent="0.25">
      <c r="A39" t="s">
        <v>30</v>
      </c>
      <c r="B39">
        <v>2014</v>
      </c>
      <c r="C39" t="s">
        <v>29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 s="1">
        <f>AVERAGE(Table1[[#This Row],[Cereals and products]:[Food and beverages]])</f>
        <v>114.17692307692307</v>
      </c>
      <c r="R39">
        <v>115.7</v>
      </c>
      <c r="S39">
        <v>114.8</v>
      </c>
      <c r="T39">
        <v>111.3</v>
      </c>
      <c r="U39">
        <v>114.3</v>
      </c>
      <c r="V39" s="1">
        <f>AVERAGE(Table1[[#This Row],[Clothing]:[Clothing and footwear]])</f>
        <v>113.46666666666665</v>
      </c>
      <c r="W39">
        <v>111.6</v>
      </c>
      <c r="X39">
        <v>111</v>
      </c>
      <c r="Y39">
        <v>111.9</v>
      </c>
      <c r="Z39">
        <v>109.7</v>
      </c>
      <c r="AA39">
        <v>110.8</v>
      </c>
      <c r="AB39" s="1">
        <f t="shared" si="2"/>
        <v>111.325</v>
      </c>
      <c r="AC39">
        <v>109.8</v>
      </c>
      <c r="AD39">
        <v>111.5</v>
      </c>
      <c r="AE39">
        <v>108</v>
      </c>
      <c r="AF39">
        <f t="shared" si="3"/>
        <v>108.85</v>
      </c>
      <c r="AG39">
        <v>110.5</v>
      </c>
      <c r="AH39">
        <v>112.9</v>
      </c>
      <c r="AI39">
        <f t="shared" si="1"/>
        <v>111.7</v>
      </c>
    </row>
    <row r="40" spans="1:35" x14ac:dyDescent="0.25">
      <c r="A40" t="s">
        <v>31</v>
      </c>
      <c r="B40">
        <v>2014</v>
      </c>
      <c r="C40" t="s">
        <v>29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 s="1">
        <f>AVERAGE(Table1[[#This Row],[Cereals and products]:[Food and beverages]])</f>
        <v>114.29230769230767</v>
      </c>
      <c r="R40">
        <v>114.5</v>
      </c>
      <c r="S40">
        <v>115.8</v>
      </c>
      <c r="T40">
        <v>113.2</v>
      </c>
      <c r="U40">
        <v>115.4</v>
      </c>
      <c r="V40" s="1">
        <f>AVERAGE(Table1[[#This Row],[Clothing]:[Clothing and footwear]])</f>
        <v>114.8</v>
      </c>
      <c r="W40">
        <v>111.6</v>
      </c>
      <c r="X40">
        <v>112.2</v>
      </c>
      <c r="Y40">
        <v>112.3</v>
      </c>
      <c r="Z40">
        <v>110.3</v>
      </c>
      <c r="AA40">
        <v>110.7</v>
      </c>
      <c r="AB40" s="1">
        <f t="shared" si="2"/>
        <v>111.7</v>
      </c>
      <c r="AC40">
        <v>109.7</v>
      </c>
      <c r="AD40">
        <v>111.6</v>
      </c>
      <c r="AE40">
        <v>108.2</v>
      </c>
      <c r="AF40">
        <f t="shared" si="3"/>
        <v>109.25</v>
      </c>
      <c r="AG40">
        <v>110.6</v>
      </c>
      <c r="AH40">
        <v>113.6</v>
      </c>
      <c r="AI40">
        <f t="shared" si="1"/>
        <v>112.1</v>
      </c>
    </row>
    <row r="41" spans="1:35" x14ac:dyDescent="0.25">
      <c r="A41" t="s">
        <v>28</v>
      </c>
      <c r="B41">
        <v>2014</v>
      </c>
      <c r="C41" t="s">
        <v>32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 s="1">
        <f>AVERAGE(Table1[[#This Row],[Cereals and products]:[Food and beverages]])</f>
        <v>114.01538461538462</v>
      </c>
      <c r="R41">
        <v>114.2</v>
      </c>
      <c r="S41">
        <v>117.1</v>
      </c>
      <c r="T41">
        <v>114.5</v>
      </c>
      <c r="U41">
        <v>116.7</v>
      </c>
      <c r="V41" s="1">
        <f>AVERAGE(Table1[[#This Row],[Clothing]:[Clothing and footwear]])</f>
        <v>116.10000000000001</v>
      </c>
      <c r="X41">
        <v>113.2</v>
      </c>
      <c r="Y41">
        <v>112.9</v>
      </c>
      <c r="Z41">
        <v>110.9</v>
      </c>
      <c r="AA41">
        <v>110.8</v>
      </c>
      <c r="AB41" s="1">
        <f t="shared" si="2"/>
        <v>112.30000000000001</v>
      </c>
      <c r="AC41">
        <v>109.9</v>
      </c>
      <c r="AD41">
        <v>112</v>
      </c>
      <c r="AE41">
        <v>108.7</v>
      </c>
      <c r="AF41">
        <f t="shared" si="3"/>
        <v>109.80000000000001</v>
      </c>
      <c r="AG41">
        <v>110.9</v>
      </c>
      <c r="AH41">
        <v>114</v>
      </c>
      <c r="AI41">
        <f t="shared" si="1"/>
        <v>112.45</v>
      </c>
    </row>
    <row r="42" spans="1:35" x14ac:dyDescent="0.25">
      <c r="A42" t="s">
        <v>30</v>
      </c>
      <c r="B42">
        <v>2014</v>
      </c>
      <c r="C42" t="s">
        <v>32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 s="1">
        <f>AVERAGE(Table1[[#This Row],[Cereals and products]:[Food and beverages]])</f>
        <v>113.53846153846153</v>
      </c>
      <c r="R42">
        <v>116.2</v>
      </c>
      <c r="S42">
        <v>115.3</v>
      </c>
      <c r="T42">
        <v>111.7</v>
      </c>
      <c r="U42">
        <v>114.7</v>
      </c>
      <c r="V42" s="1">
        <f>AVERAGE(Table1[[#This Row],[Clothing]:[Clothing and footwear]])</f>
        <v>113.89999999999999</v>
      </c>
      <c r="W42">
        <v>112.5</v>
      </c>
      <c r="X42">
        <v>111.1</v>
      </c>
      <c r="Y42">
        <v>112.6</v>
      </c>
      <c r="Z42">
        <v>110.4</v>
      </c>
      <c r="AA42">
        <v>111.3</v>
      </c>
      <c r="AB42" s="1">
        <f t="shared" si="2"/>
        <v>111.875</v>
      </c>
      <c r="AC42">
        <v>110.3</v>
      </c>
      <c r="AD42">
        <v>111.6</v>
      </c>
      <c r="AE42">
        <v>108.7</v>
      </c>
      <c r="AF42">
        <f t="shared" si="3"/>
        <v>109.55000000000001</v>
      </c>
      <c r="AG42">
        <v>111</v>
      </c>
      <c r="AH42">
        <v>113.1</v>
      </c>
      <c r="AI42">
        <f t="shared" si="1"/>
        <v>112.05</v>
      </c>
    </row>
    <row r="43" spans="1:35" x14ac:dyDescent="0.25">
      <c r="A43" t="s">
        <v>31</v>
      </c>
      <c r="B43">
        <v>2014</v>
      </c>
      <c r="C43" t="s">
        <v>32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 s="1">
        <f>AVERAGE(Table1[[#This Row],[Cereals and products]:[Food and beverages]])</f>
        <v>113.85384615384615</v>
      </c>
      <c r="R43">
        <v>114.7</v>
      </c>
      <c r="S43">
        <v>116.4</v>
      </c>
      <c r="T43">
        <v>113.3</v>
      </c>
      <c r="U43">
        <v>115.9</v>
      </c>
      <c r="V43" s="1">
        <f>AVERAGE(Table1[[#This Row],[Clothing]:[Clothing and footwear]])</f>
        <v>115.2</v>
      </c>
      <c r="W43">
        <v>112.5</v>
      </c>
      <c r="X43">
        <v>112.4</v>
      </c>
      <c r="Y43">
        <v>112.8</v>
      </c>
      <c r="Z43">
        <v>110.7</v>
      </c>
      <c r="AA43">
        <v>111.1</v>
      </c>
      <c r="AB43" s="1">
        <f t="shared" si="2"/>
        <v>112.19999999999999</v>
      </c>
      <c r="AC43">
        <v>110.1</v>
      </c>
      <c r="AD43">
        <v>111.8</v>
      </c>
      <c r="AE43">
        <v>108.7</v>
      </c>
      <c r="AF43">
        <f t="shared" si="3"/>
        <v>109.7</v>
      </c>
      <c r="AG43">
        <v>110.9</v>
      </c>
      <c r="AH43">
        <v>113.6</v>
      </c>
      <c r="AI43">
        <f t="shared" si="1"/>
        <v>112.25</v>
      </c>
    </row>
    <row r="44" spans="1:35" x14ac:dyDescent="0.25">
      <c r="A44" t="s">
        <v>28</v>
      </c>
      <c r="B44">
        <v>2014</v>
      </c>
      <c r="C44" t="s">
        <v>33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 s="1">
        <f>AVERAGE(Table1[[#This Row],[Cereals and products]:[Food and beverages]])</f>
        <v>114.72307692307693</v>
      </c>
      <c r="R44">
        <v>114.6</v>
      </c>
      <c r="S44">
        <v>117.5</v>
      </c>
      <c r="T44">
        <v>114.9</v>
      </c>
      <c r="U44">
        <v>117.2</v>
      </c>
      <c r="V44" s="1">
        <f>AVERAGE(Table1[[#This Row],[Clothing]:[Clothing and footwear]])</f>
        <v>116.53333333333335</v>
      </c>
      <c r="X44">
        <v>113.4</v>
      </c>
      <c r="Y44">
        <v>113.4</v>
      </c>
      <c r="Z44">
        <v>111.4</v>
      </c>
      <c r="AA44">
        <v>111.2</v>
      </c>
      <c r="AB44" s="1">
        <f t="shared" si="2"/>
        <v>112.66666666666667</v>
      </c>
      <c r="AC44">
        <v>110.2</v>
      </c>
      <c r="AD44">
        <v>112.4</v>
      </c>
      <c r="AE44">
        <v>108.9</v>
      </c>
      <c r="AF44">
        <f t="shared" si="3"/>
        <v>110.15</v>
      </c>
      <c r="AG44">
        <v>111.3</v>
      </c>
      <c r="AH44">
        <v>114.6</v>
      </c>
      <c r="AI44">
        <f t="shared" si="1"/>
        <v>112.94999999999999</v>
      </c>
    </row>
    <row r="45" spans="1:35" x14ac:dyDescent="0.25">
      <c r="A45" t="s">
        <v>30</v>
      </c>
      <c r="B45">
        <v>2014</v>
      </c>
      <c r="C45" t="s">
        <v>33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 s="1">
        <f>AVERAGE(Table1[[#This Row],[Cereals and products]:[Food and beverages]])</f>
        <v>114.07692307692308</v>
      </c>
      <c r="R45">
        <v>116.7</v>
      </c>
      <c r="S45">
        <v>115.8</v>
      </c>
      <c r="T45">
        <v>112.1</v>
      </c>
      <c r="U45">
        <v>115.2</v>
      </c>
      <c r="V45" s="1">
        <f>AVERAGE(Table1[[#This Row],[Clothing]:[Clothing and footwear]])</f>
        <v>114.36666666666666</v>
      </c>
      <c r="W45">
        <v>113.2</v>
      </c>
      <c r="X45">
        <v>110.9</v>
      </c>
      <c r="Y45">
        <v>113</v>
      </c>
      <c r="Z45">
        <v>110.8</v>
      </c>
      <c r="AA45">
        <v>111.6</v>
      </c>
      <c r="AB45" s="1">
        <f t="shared" si="2"/>
        <v>112.17500000000001</v>
      </c>
      <c r="AC45">
        <v>110.9</v>
      </c>
      <c r="AD45">
        <v>111.8</v>
      </c>
      <c r="AE45">
        <v>109.2</v>
      </c>
      <c r="AF45">
        <f t="shared" si="3"/>
        <v>110</v>
      </c>
      <c r="AG45">
        <v>111.4</v>
      </c>
      <c r="AH45">
        <v>113.7</v>
      </c>
      <c r="AI45">
        <f t="shared" si="1"/>
        <v>112.55000000000001</v>
      </c>
    </row>
    <row r="46" spans="1:35" x14ac:dyDescent="0.25">
      <c r="A46" t="s">
        <v>31</v>
      </c>
      <c r="B46">
        <v>2014</v>
      </c>
      <c r="C46" t="s">
        <v>44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 s="1">
        <f>AVERAGE(Table1[[#This Row],[Cereals and products]:[Food and beverages]])</f>
        <v>114.48461538461537</v>
      </c>
      <c r="R46">
        <v>115.2</v>
      </c>
      <c r="S46">
        <v>116.8</v>
      </c>
      <c r="T46">
        <v>113.7</v>
      </c>
      <c r="U46">
        <v>116.4</v>
      </c>
      <c r="V46" s="1">
        <f>AVERAGE(Table1[[#This Row],[Clothing]:[Clothing and footwear]])</f>
        <v>115.63333333333333</v>
      </c>
      <c r="W46">
        <v>113.2</v>
      </c>
      <c r="X46">
        <v>112.5</v>
      </c>
      <c r="Y46">
        <v>113.2</v>
      </c>
      <c r="Z46">
        <v>111.2</v>
      </c>
      <c r="AA46">
        <v>111.4</v>
      </c>
      <c r="AB46" s="1">
        <f t="shared" si="2"/>
        <v>112.57499999999999</v>
      </c>
      <c r="AC46">
        <v>110.6</v>
      </c>
      <c r="AD46">
        <v>112</v>
      </c>
      <c r="AE46">
        <v>109</v>
      </c>
      <c r="AF46">
        <f t="shared" si="3"/>
        <v>110.1</v>
      </c>
      <c r="AG46">
        <v>111.3</v>
      </c>
      <c r="AH46">
        <v>114.2</v>
      </c>
      <c r="AI46">
        <f t="shared" si="1"/>
        <v>112.75</v>
      </c>
    </row>
    <row r="47" spans="1:35" x14ac:dyDescent="0.25">
      <c r="A47" t="s">
        <v>28</v>
      </c>
      <c r="B47">
        <v>2014</v>
      </c>
      <c r="C47" t="s">
        <v>34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 s="1">
        <f>AVERAGE(Table1[[#This Row],[Cereals and products]:[Food and beverages]])</f>
        <v>115.70000000000002</v>
      </c>
      <c r="R47">
        <v>115.4</v>
      </c>
      <c r="S47">
        <v>118.1</v>
      </c>
      <c r="T47">
        <v>116.1</v>
      </c>
      <c r="U47">
        <v>117.8</v>
      </c>
      <c r="V47" s="1">
        <f>AVERAGE(Table1[[#This Row],[Clothing]:[Clothing and footwear]])</f>
        <v>117.33333333333333</v>
      </c>
      <c r="X47">
        <v>113.4</v>
      </c>
      <c r="Y47">
        <v>113.7</v>
      </c>
      <c r="Z47">
        <v>111.8</v>
      </c>
      <c r="AA47">
        <v>111.2</v>
      </c>
      <c r="AB47" s="1">
        <f t="shared" si="2"/>
        <v>112.76666666666667</v>
      </c>
      <c r="AC47">
        <v>110.5</v>
      </c>
      <c r="AD47">
        <v>113</v>
      </c>
      <c r="AE47">
        <v>108.9</v>
      </c>
      <c r="AF47">
        <f t="shared" si="3"/>
        <v>110.35</v>
      </c>
      <c r="AG47">
        <v>111.5</v>
      </c>
      <c r="AH47">
        <v>115.4</v>
      </c>
      <c r="AI47">
        <f t="shared" si="1"/>
        <v>113.45</v>
      </c>
    </row>
    <row r="48" spans="1:35" x14ac:dyDescent="0.25">
      <c r="A48" t="s">
        <v>30</v>
      </c>
      <c r="B48">
        <v>2014</v>
      </c>
      <c r="C48" t="s">
        <v>34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 s="1">
        <f>AVERAGE(Table1[[#This Row],[Cereals and products]:[Food and beverages]])</f>
        <v>115.69230769230771</v>
      </c>
      <c r="R48">
        <v>117.6</v>
      </c>
      <c r="S48">
        <v>116.3</v>
      </c>
      <c r="T48">
        <v>112.5</v>
      </c>
      <c r="U48">
        <v>115.7</v>
      </c>
      <c r="V48" s="1">
        <f>AVERAGE(Table1[[#This Row],[Clothing]:[Clothing and footwear]])</f>
        <v>114.83333333333333</v>
      </c>
      <c r="W48">
        <v>113.9</v>
      </c>
      <c r="X48">
        <v>110.9</v>
      </c>
      <c r="Y48">
        <v>113.4</v>
      </c>
      <c r="Z48">
        <v>111</v>
      </c>
      <c r="AA48">
        <v>111.2</v>
      </c>
      <c r="AB48" s="1">
        <f t="shared" si="2"/>
        <v>112.35000000000001</v>
      </c>
      <c r="AC48">
        <v>111.2</v>
      </c>
      <c r="AD48">
        <v>112.5</v>
      </c>
      <c r="AE48">
        <v>109.1</v>
      </c>
      <c r="AF48">
        <f t="shared" si="3"/>
        <v>110.05</v>
      </c>
      <c r="AG48">
        <v>111.4</v>
      </c>
      <c r="AH48">
        <v>114.7</v>
      </c>
      <c r="AI48">
        <f t="shared" si="1"/>
        <v>113.05000000000001</v>
      </c>
    </row>
    <row r="49" spans="1:35" x14ac:dyDescent="0.25">
      <c r="A49" t="s">
        <v>31</v>
      </c>
      <c r="B49">
        <v>2014</v>
      </c>
      <c r="C49" t="s">
        <v>34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 s="1">
        <f>AVERAGE(Table1[[#This Row],[Cereals and products]:[Food and beverages]])</f>
        <v>115.69999999999999</v>
      </c>
      <c r="R49">
        <v>116</v>
      </c>
      <c r="S49">
        <v>117.4</v>
      </c>
      <c r="T49">
        <v>114.6</v>
      </c>
      <c r="U49">
        <v>117</v>
      </c>
      <c r="V49" s="1">
        <f>AVERAGE(Table1[[#This Row],[Clothing]:[Clothing and footwear]])</f>
        <v>116.33333333333333</v>
      </c>
      <c r="W49">
        <v>113.9</v>
      </c>
      <c r="X49">
        <v>112.5</v>
      </c>
      <c r="Y49">
        <v>113.6</v>
      </c>
      <c r="Z49">
        <v>111.5</v>
      </c>
      <c r="AA49">
        <v>111.2</v>
      </c>
      <c r="AB49" s="1">
        <f t="shared" si="2"/>
        <v>112.8</v>
      </c>
      <c r="AC49">
        <v>110.9</v>
      </c>
      <c r="AD49">
        <v>112.7</v>
      </c>
      <c r="AE49">
        <v>109</v>
      </c>
      <c r="AF49">
        <f t="shared" si="3"/>
        <v>110.25</v>
      </c>
      <c r="AG49">
        <v>111.5</v>
      </c>
      <c r="AH49">
        <v>115.1</v>
      </c>
      <c r="AI49">
        <f t="shared" si="1"/>
        <v>113.3</v>
      </c>
    </row>
    <row r="50" spans="1:35" x14ac:dyDescent="0.25">
      <c r="A50" t="s">
        <v>28</v>
      </c>
      <c r="B50">
        <v>2014</v>
      </c>
      <c r="C50" t="s">
        <v>35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 s="1">
        <f>AVERAGE(Table1[[#This Row],[Cereals and products]:[Food and beverages]])</f>
        <v>116.45384615384614</v>
      </c>
      <c r="R50">
        <v>116.3</v>
      </c>
      <c r="S50">
        <v>118.7</v>
      </c>
      <c r="T50">
        <v>116.8</v>
      </c>
      <c r="U50">
        <v>118.5</v>
      </c>
      <c r="V50" s="1">
        <f>AVERAGE(Table1[[#This Row],[Clothing]:[Clothing and footwear]])</f>
        <v>118</v>
      </c>
      <c r="X50">
        <v>113.4</v>
      </c>
      <c r="Y50">
        <v>114.1</v>
      </c>
      <c r="Z50">
        <v>112.1</v>
      </c>
      <c r="AA50">
        <v>111.4</v>
      </c>
      <c r="AB50" s="1">
        <f t="shared" si="2"/>
        <v>112.96666666666665</v>
      </c>
      <c r="AC50">
        <v>110.9</v>
      </c>
      <c r="AD50">
        <v>113.1</v>
      </c>
      <c r="AE50">
        <v>108.9</v>
      </c>
      <c r="AF50">
        <f t="shared" si="3"/>
        <v>110.5</v>
      </c>
      <c r="AG50">
        <v>111.8</v>
      </c>
      <c r="AH50">
        <v>116</v>
      </c>
      <c r="AI50">
        <f t="shared" si="1"/>
        <v>113.9</v>
      </c>
    </row>
    <row r="51" spans="1:35" x14ac:dyDescent="0.25">
      <c r="A51" t="s">
        <v>30</v>
      </c>
      <c r="B51">
        <v>2014</v>
      </c>
      <c r="C51" t="s">
        <v>35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 s="1">
        <f>AVERAGE(Table1[[#This Row],[Cereals and products]:[Food and beverages]])</f>
        <v>117.33076923076925</v>
      </c>
      <c r="R51">
        <v>118.3</v>
      </c>
      <c r="S51">
        <v>116.8</v>
      </c>
      <c r="T51">
        <v>112.9</v>
      </c>
      <c r="U51">
        <v>116.2</v>
      </c>
      <c r="V51" s="1">
        <f>AVERAGE(Table1[[#This Row],[Clothing]:[Clothing and footwear]])</f>
        <v>115.3</v>
      </c>
      <c r="W51">
        <v>114.3</v>
      </c>
      <c r="X51">
        <v>111.1</v>
      </c>
      <c r="Y51">
        <v>114.1</v>
      </c>
      <c r="Z51">
        <v>111.2</v>
      </c>
      <c r="AA51">
        <v>111.3</v>
      </c>
      <c r="AB51" s="1">
        <f t="shared" si="2"/>
        <v>112.7</v>
      </c>
      <c r="AC51">
        <v>111.5</v>
      </c>
      <c r="AD51">
        <v>112.9</v>
      </c>
      <c r="AE51">
        <v>109.3</v>
      </c>
      <c r="AF51">
        <f t="shared" si="3"/>
        <v>110.25</v>
      </c>
      <c r="AG51">
        <v>111.7</v>
      </c>
      <c r="AH51">
        <v>115.6</v>
      </c>
      <c r="AI51">
        <f t="shared" si="1"/>
        <v>113.65</v>
      </c>
    </row>
    <row r="52" spans="1:35" x14ac:dyDescent="0.25">
      <c r="A52" t="s">
        <v>31</v>
      </c>
      <c r="B52">
        <v>2014</v>
      </c>
      <c r="C52" t="s">
        <v>35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 s="1">
        <f>AVERAGE(Table1[[#This Row],[Cereals and products]:[Food and beverages]])</f>
        <v>116.80769230769235</v>
      </c>
      <c r="R52">
        <v>116.8</v>
      </c>
      <c r="S52">
        <v>118</v>
      </c>
      <c r="T52">
        <v>115.2</v>
      </c>
      <c r="U52">
        <v>117.6</v>
      </c>
      <c r="V52" s="1">
        <f>AVERAGE(Table1[[#This Row],[Clothing]:[Clothing and footwear]])</f>
        <v>116.93333333333332</v>
      </c>
      <c r="W52">
        <v>114.3</v>
      </c>
      <c r="X52">
        <v>112.5</v>
      </c>
      <c r="Y52">
        <v>114.1</v>
      </c>
      <c r="Z52">
        <v>111.8</v>
      </c>
      <c r="AA52">
        <v>111.3</v>
      </c>
      <c r="AB52" s="1">
        <f t="shared" si="2"/>
        <v>113.05</v>
      </c>
      <c r="AC52">
        <v>111.2</v>
      </c>
      <c r="AD52">
        <v>113</v>
      </c>
      <c r="AE52">
        <v>109.1</v>
      </c>
      <c r="AF52">
        <f t="shared" si="3"/>
        <v>110.44999999999999</v>
      </c>
      <c r="AG52">
        <v>111.8</v>
      </c>
      <c r="AH52">
        <v>115.8</v>
      </c>
      <c r="AI52">
        <f t="shared" si="1"/>
        <v>113.8</v>
      </c>
    </row>
    <row r="53" spans="1:35" x14ac:dyDescent="0.25">
      <c r="A53" t="s">
        <v>28</v>
      </c>
      <c r="B53">
        <v>2014</v>
      </c>
      <c r="C53" t="s">
        <v>36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 s="1">
        <f>AVERAGE(Table1[[#This Row],[Cereals and products]:[Food and beverages]])</f>
        <v>117.36153846153844</v>
      </c>
      <c r="R53">
        <v>117.3</v>
      </c>
      <c r="S53">
        <v>119.7</v>
      </c>
      <c r="T53">
        <v>117.3</v>
      </c>
      <c r="U53">
        <v>119.3</v>
      </c>
      <c r="V53" s="1">
        <f>AVERAGE(Table1[[#This Row],[Clothing]:[Clothing and footwear]])</f>
        <v>118.76666666666667</v>
      </c>
      <c r="X53">
        <v>114.4</v>
      </c>
      <c r="Y53">
        <v>114.9</v>
      </c>
      <c r="Z53">
        <v>112.8</v>
      </c>
      <c r="AA53">
        <v>112.2</v>
      </c>
      <c r="AB53" s="1">
        <f t="shared" si="2"/>
        <v>113.83333333333333</v>
      </c>
      <c r="AC53">
        <v>111.4</v>
      </c>
      <c r="AD53">
        <v>114.3</v>
      </c>
      <c r="AE53">
        <v>108</v>
      </c>
      <c r="AF53">
        <f t="shared" si="3"/>
        <v>110.4</v>
      </c>
      <c r="AG53">
        <v>112.3</v>
      </c>
      <c r="AH53">
        <v>117</v>
      </c>
      <c r="AI53">
        <f t="shared" si="1"/>
        <v>114.65</v>
      </c>
    </row>
    <row r="54" spans="1:35" x14ac:dyDescent="0.25">
      <c r="A54" t="s">
        <v>30</v>
      </c>
      <c r="B54">
        <v>2014</v>
      </c>
      <c r="C54" t="s">
        <v>36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 s="1">
        <f>AVERAGE(Table1[[#This Row],[Cereals and products]:[Food and beverages]])</f>
        <v>119</v>
      </c>
      <c r="R54">
        <v>119</v>
      </c>
      <c r="S54">
        <v>117.4</v>
      </c>
      <c r="T54">
        <v>113.2</v>
      </c>
      <c r="U54">
        <v>116.7</v>
      </c>
      <c r="V54" s="1">
        <f>AVERAGE(Table1[[#This Row],[Clothing]:[Clothing and footwear]])</f>
        <v>115.76666666666667</v>
      </c>
      <c r="W54">
        <v>113.9</v>
      </c>
      <c r="X54">
        <v>111.2</v>
      </c>
      <c r="Y54">
        <v>114.3</v>
      </c>
      <c r="Z54">
        <v>111.4</v>
      </c>
      <c r="AA54">
        <v>111.5</v>
      </c>
      <c r="AB54" s="1">
        <f t="shared" si="2"/>
        <v>112.72500000000001</v>
      </c>
      <c r="AC54">
        <v>111.8</v>
      </c>
      <c r="AD54">
        <v>115.1</v>
      </c>
      <c r="AE54">
        <v>108.7</v>
      </c>
      <c r="AF54">
        <f t="shared" si="3"/>
        <v>110.05000000000001</v>
      </c>
      <c r="AG54">
        <v>112.2</v>
      </c>
      <c r="AH54">
        <v>116.4</v>
      </c>
      <c r="AI54">
        <f t="shared" si="1"/>
        <v>114.30000000000001</v>
      </c>
    </row>
    <row r="55" spans="1:35" x14ac:dyDescent="0.25">
      <c r="A55" t="s">
        <v>31</v>
      </c>
      <c r="B55">
        <v>2014</v>
      </c>
      <c r="C55" t="s">
        <v>36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 s="1">
        <f>AVERAGE(Table1[[#This Row],[Cereals and products]:[Food and beverages]])</f>
        <v>117.9769230769231</v>
      </c>
      <c r="R55">
        <v>117.8</v>
      </c>
      <c r="S55">
        <v>118.8</v>
      </c>
      <c r="T55">
        <v>115.6</v>
      </c>
      <c r="U55">
        <v>118.3</v>
      </c>
      <c r="V55" s="1">
        <f>AVERAGE(Table1[[#This Row],[Clothing]:[Clothing and footwear]])</f>
        <v>117.56666666666666</v>
      </c>
      <c r="W55">
        <v>113.9</v>
      </c>
      <c r="X55">
        <v>113.2</v>
      </c>
      <c r="Y55">
        <v>114.6</v>
      </c>
      <c r="Z55">
        <v>112.3</v>
      </c>
      <c r="AA55">
        <v>111.8</v>
      </c>
      <c r="AB55" s="1">
        <f t="shared" si="2"/>
        <v>113.37500000000001</v>
      </c>
      <c r="AC55">
        <v>111.6</v>
      </c>
      <c r="AD55">
        <v>114.8</v>
      </c>
      <c r="AE55">
        <v>108.3</v>
      </c>
      <c r="AF55">
        <f t="shared" si="3"/>
        <v>110.3</v>
      </c>
      <c r="AG55">
        <v>112.3</v>
      </c>
      <c r="AH55">
        <v>116.7</v>
      </c>
      <c r="AI55">
        <f t="shared" si="1"/>
        <v>114.5</v>
      </c>
    </row>
    <row r="56" spans="1:35" x14ac:dyDescent="0.25">
      <c r="A56" t="s">
        <v>28</v>
      </c>
      <c r="B56">
        <v>2014</v>
      </c>
      <c r="C56" t="s">
        <v>37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 s="1">
        <f>AVERAGE(Table1[[#This Row],[Cereals and products]:[Food and beverages]])</f>
        <v>120.24615384615385</v>
      </c>
      <c r="R56">
        <v>118</v>
      </c>
      <c r="S56">
        <v>120.7</v>
      </c>
      <c r="T56">
        <v>118.3</v>
      </c>
      <c r="U56">
        <v>120.3</v>
      </c>
      <c r="V56" s="1">
        <f>AVERAGE(Table1[[#This Row],[Clothing]:[Clothing and footwear]])</f>
        <v>119.76666666666667</v>
      </c>
      <c r="X56">
        <v>115.3</v>
      </c>
      <c r="Y56">
        <v>115.4</v>
      </c>
      <c r="Z56">
        <v>113.4</v>
      </c>
      <c r="AA56">
        <v>113.2</v>
      </c>
      <c r="AB56" s="1">
        <f t="shared" si="2"/>
        <v>114.63333333333333</v>
      </c>
      <c r="AC56">
        <v>111.8</v>
      </c>
      <c r="AD56">
        <v>115.5</v>
      </c>
      <c r="AE56">
        <v>108.8</v>
      </c>
      <c r="AF56">
        <f t="shared" si="3"/>
        <v>111.1</v>
      </c>
      <c r="AG56">
        <v>113.1</v>
      </c>
      <c r="AH56">
        <v>119.5</v>
      </c>
      <c r="AI56">
        <f t="shared" si="1"/>
        <v>116.3</v>
      </c>
    </row>
    <row r="57" spans="1:35" x14ac:dyDescent="0.25">
      <c r="A57" t="s">
        <v>30</v>
      </c>
      <c r="B57">
        <v>2014</v>
      </c>
      <c r="C57" t="s">
        <v>37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 s="1">
        <f>AVERAGE(Table1[[#This Row],[Cereals and products]:[Food and beverages]])</f>
        <v>123.03846153846153</v>
      </c>
      <c r="R57">
        <v>121</v>
      </c>
      <c r="S57">
        <v>118</v>
      </c>
      <c r="T57">
        <v>113.6</v>
      </c>
      <c r="U57">
        <v>117.4</v>
      </c>
      <c r="V57" s="1">
        <f>AVERAGE(Table1[[#This Row],[Clothing]:[Clothing and footwear]])</f>
        <v>116.33333333333333</v>
      </c>
      <c r="W57">
        <v>114.8</v>
      </c>
      <c r="X57">
        <v>111.6</v>
      </c>
      <c r="Y57">
        <v>114.9</v>
      </c>
      <c r="Z57">
        <v>111.5</v>
      </c>
      <c r="AA57">
        <v>113</v>
      </c>
      <c r="AB57" s="1">
        <f t="shared" si="2"/>
        <v>113.57499999999999</v>
      </c>
      <c r="AC57">
        <v>112.4</v>
      </c>
      <c r="AD57">
        <v>117.8</v>
      </c>
      <c r="AE57">
        <v>109.7</v>
      </c>
      <c r="AF57">
        <f t="shared" si="3"/>
        <v>110.6</v>
      </c>
      <c r="AG57">
        <v>113.5</v>
      </c>
      <c r="AH57">
        <v>118.9</v>
      </c>
      <c r="AI57">
        <f t="shared" si="1"/>
        <v>116.2</v>
      </c>
    </row>
    <row r="58" spans="1:35" x14ac:dyDescent="0.25">
      <c r="A58" t="s">
        <v>31</v>
      </c>
      <c r="B58">
        <v>2014</v>
      </c>
      <c r="C58" t="s">
        <v>37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 s="1">
        <f>AVERAGE(Table1[[#This Row],[Cereals and products]:[Food and beverages]])</f>
        <v>121.25384615384615</v>
      </c>
      <c r="R58">
        <v>118.8</v>
      </c>
      <c r="S58">
        <v>119.6</v>
      </c>
      <c r="T58">
        <v>116.3</v>
      </c>
      <c r="U58">
        <v>119.1</v>
      </c>
      <c r="V58" s="1">
        <f>AVERAGE(Table1[[#This Row],[Clothing]:[Clothing and footwear]])</f>
        <v>118.33333333333333</v>
      </c>
      <c r="W58">
        <v>114.8</v>
      </c>
      <c r="X58">
        <v>113.9</v>
      </c>
      <c r="Y58">
        <v>115.2</v>
      </c>
      <c r="Z58">
        <v>112.7</v>
      </c>
      <c r="AA58">
        <v>113.1</v>
      </c>
      <c r="AB58" s="1">
        <f t="shared" si="2"/>
        <v>114.25</v>
      </c>
      <c r="AC58">
        <v>112.1</v>
      </c>
      <c r="AD58">
        <v>116.8</v>
      </c>
      <c r="AE58">
        <v>109.2</v>
      </c>
      <c r="AF58">
        <f t="shared" si="3"/>
        <v>110.95</v>
      </c>
      <c r="AG58">
        <v>113.3</v>
      </c>
      <c r="AH58">
        <v>119.2</v>
      </c>
      <c r="AI58">
        <f t="shared" si="1"/>
        <v>116.25</v>
      </c>
    </row>
    <row r="59" spans="1:35" x14ac:dyDescent="0.25">
      <c r="A59" t="s">
        <v>28</v>
      </c>
      <c r="B59">
        <v>2014</v>
      </c>
      <c r="C59" t="s">
        <v>38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 s="1">
        <f>AVERAGE(Table1[[#This Row],[Cereals and products]:[Food and beverages]])</f>
        <v>121.71538461538459</v>
      </c>
      <c r="R59">
        <v>118.8</v>
      </c>
      <c r="S59">
        <v>120.9</v>
      </c>
      <c r="T59">
        <v>118.8</v>
      </c>
      <c r="U59">
        <v>120.7</v>
      </c>
      <c r="V59" s="1">
        <f>AVERAGE(Table1[[#This Row],[Clothing]:[Clothing and footwear]])</f>
        <v>120.13333333333333</v>
      </c>
      <c r="X59">
        <v>115.4</v>
      </c>
      <c r="Y59">
        <v>115.9</v>
      </c>
      <c r="Z59">
        <v>114</v>
      </c>
      <c r="AA59">
        <v>113.2</v>
      </c>
      <c r="AB59" s="1">
        <f t="shared" si="2"/>
        <v>114.83333333333333</v>
      </c>
      <c r="AC59">
        <v>112.2</v>
      </c>
      <c r="AD59">
        <v>116.2</v>
      </c>
      <c r="AE59">
        <v>109.4</v>
      </c>
      <c r="AF59">
        <f t="shared" si="3"/>
        <v>111.7</v>
      </c>
      <c r="AG59">
        <v>113.5</v>
      </c>
      <c r="AH59">
        <v>120.7</v>
      </c>
      <c r="AI59">
        <f t="shared" si="1"/>
        <v>117.1</v>
      </c>
    </row>
    <row r="60" spans="1:35" x14ac:dyDescent="0.25">
      <c r="A60" t="s">
        <v>30</v>
      </c>
      <c r="B60">
        <v>2014</v>
      </c>
      <c r="C60" t="s">
        <v>38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 s="1">
        <f>AVERAGE(Table1[[#This Row],[Cereals and products]:[Food and beverages]])</f>
        <v>124.38461538461539</v>
      </c>
      <c r="R60">
        <v>123</v>
      </c>
      <c r="S60">
        <v>118.6</v>
      </c>
      <c r="T60">
        <v>114.1</v>
      </c>
      <c r="U60">
        <v>117.9</v>
      </c>
      <c r="V60" s="1">
        <f>AVERAGE(Table1[[#This Row],[Clothing]:[Clothing and footwear]])</f>
        <v>116.86666666666667</v>
      </c>
      <c r="W60">
        <v>115.5</v>
      </c>
      <c r="X60">
        <v>111.8</v>
      </c>
      <c r="Y60">
        <v>115.3</v>
      </c>
      <c r="Z60">
        <v>112.2</v>
      </c>
      <c r="AA60">
        <v>112.5</v>
      </c>
      <c r="AB60" s="1">
        <f t="shared" si="2"/>
        <v>113.77500000000001</v>
      </c>
      <c r="AC60">
        <v>112.9</v>
      </c>
      <c r="AD60">
        <v>119.2</v>
      </c>
      <c r="AE60">
        <v>110.5</v>
      </c>
      <c r="AF60">
        <f t="shared" si="3"/>
        <v>111.35</v>
      </c>
      <c r="AG60">
        <v>113.9</v>
      </c>
      <c r="AH60">
        <v>119.9</v>
      </c>
      <c r="AI60">
        <f t="shared" si="1"/>
        <v>116.9</v>
      </c>
    </row>
    <row r="61" spans="1:35" x14ac:dyDescent="0.25">
      <c r="A61" t="s">
        <v>31</v>
      </c>
      <c r="B61">
        <v>2014</v>
      </c>
      <c r="C61" t="s">
        <v>38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 s="1">
        <f>AVERAGE(Table1[[#This Row],[Cereals and products]:[Food and beverages]])</f>
        <v>122.65384615384613</v>
      </c>
      <c r="R61">
        <v>119.9</v>
      </c>
      <c r="S61">
        <v>120</v>
      </c>
      <c r="T61">
        <v>116.8</v>
      </c>
      <c r="U61">
        <v>119.6</v>
      </c>
      <c r="V61" s="1">
        <f>AVERAGE(Table1[[#This Row],[Clothing]:[Clothing and footwear]])</f>
        <v>118.8</v>
      </c>
      <c r="W61">
        <v>115.5</v>
      </c>
      <c r="X61">
        <v>114</v>
      </c>
      <c r="Y61">
        <v>115.6</v>
      </c>
      <c r="Z61">
        <v>113.3</v>
      </c>
      <c r="AA61">
        <v>112.8</v>
      </c>
      <c r="AB61" s="1">
        <f t="shared" si="2"/>
        <v>114.47500000000001</v>
      </c>
      <c r="AC61">
        <v>112.6</v>
      </c>
      <c r="AD61">
        <v>118</v>
      </c>
      <c r="AE61">
        <v>109.9</v>
      </c>
      <c r="AF61">
        <f t="shared" si="3"/>
        <v>111.6</v>
      </c>
      <c r="AG61">
        <v>113.7</v>
      </c>
      <c r="AH61">
        <v>120.3</v>
      </c>
      <c r="AI61">
        <f t="shared" si="1"/>
        <v>117</v>
      </c>
    </row>
    <row r="62" spans="1:35" x14ac:dyDescent="0.25">
      <c r="A62" t="s">
        <v>28</v>
      </c>
      <c r="B62">
        <v>2014</v>
      </c>
      <c r="C62" t="s">
        <v>39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 s="1">
        <f>AVERAGE(Table1[[#This Row],[Cereals and products]:[Food and beverages]])</f>
        <v>121.78461538461539</v>
      </c>
      <c r="R62">
        <v>119.5</v>
      </c>
      <c r="S62">
        <v>121.7</v>
      </c>
      <c r="T62">
        <v>119.2</v>
      </c>
      <c r="U62">
        <v>121.3</v>
      </c>
      <c r="V62" s="1">
        <f>AVERAGE(Table1[[#This Row],[Clothing]:[Clothing and footwear]])</f>
        <v>120.73333333333333</v>
      </c>
      <c r="X62">
        <v>115.8</v>
      </c>
      <c r="Y62">
        <v>116.7</v>
      </c>
      <c r="Z62">
        <v>114.5</v>
      </c>
      <c r="AA62">
        <v>112.8</v>
      </c>
      <c r="AB62" s="1">
        <f t="shared" si="2"/>
        <v>115.10000000000001</v>
      </c>
      <c r="AC62">
        <v>112.6</v>
      </c>
      <c r="AD62">
        <v>116.6</v>
      </c>
      <c r="AE62">
        <v>109.1</v>
      </c>
      <c r="AF62">
        <f t="shared" si="3"/>
        <v>111.8</v>
      </c>
      <c r="AG62">
        <v>113.7</v>
      </c>
      <c r="AH62">
        <v>120.9</v>
      </c>
      <c r="AI62">
        <f t="shared" si="1"/>
        <v>117.30000000000001</v>
      </c>
    </row>
    <row r="63" spans="1:35" x14ac:dyDescent="0.25">
      <c r="A63" t="s">
        <v>30</v>
      </c>
      <c r="B63">
        <v>2014</v>
      </c>
      <c r="C63" t="s">
        <v>39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 s="1">
        <f>AVERAGE(Table1[[#This Row],[Cereals and products]:[Food and beverages]])</f>
        <v>122.59230769230771</v>
      </c>
      <c r="R63">
        <v>124.3</v>
      </c>
      <c r="S63">
        <v>119.2</v>
      </c>
      <c r="T63">
        <v>114.5</v>
      </c>
      <c r="U63">
        <v>118.4</v>
      </c>
      <c r="V63" s="1">
        <f>AVERAGE(Table1[[#This Row],[Clothing]:[Clothing and footwear]])</f>
        <v>117.36666666666667</v>
      </c>
      <c r="W63">
        <v>116.1</v>
      </c>
      <c r="X63">
        <v>111.8</v>
      </c>
      <c r="Y63">
        <v>115.5</v>
      </c>
      <c r="Z63">
        <v>112.3</v>
      </c>
      <c r="AA63">
        <v>111.2</v>
      </c>
      <c r="AB63" s="1">
        <f t="shared" si="2"/>
        <v>113.64999999999999</v>
      </c>
      <c r="AC63">
        <v>113.4</v>
      </c>
      <c r="AD63">
        <v>120</v>
      </c>
      <c r="AE63">
        <v>110</v>
      </c>
      <c r="AF63">
        <f t="shared" si="3"/>
        <v>111.15</v>
      </c>
      <c r="AG63">
        <v>113.6</v>
      </c>
      <c r="AH63">
        <v>119.2</v>
      </c>
      <c r="AI63">
        <f t="shared" si="1"/>
        <v>116.4</v>
      </c>
    </row>
    <row r="64" spans="1:35" x14ac:dyDescent="0.25">
      <c r="A64" t="s">
        <v>31</v>
      </c>
      <c r="B64">
        <v>2014</v>
      </c>
      <c r="C64" t="s">
        <v>39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 s="1">
        <f>AVERAGE(Table1[[#This Row],[Cereals and products]:[Food and beverages]])</f>
        <v>122.00769230769228</v>
      </c>
      <c r="R64">
        <v>120.8</v>
      </c>
      <c r="S64">
        <v>120.7</v>
      </c>
      <c r="T64">
        <v>117.2</v>
      </c>
      <c r="U64">
        <v>120.1</v>
      </c>
      <c r="V64" s="1">
        <f>AVERAGE(Table1[[#This Row],[Clothing]:[Clothing and footwear]])</f>
        <v>119.33333333333333</v>
      </c>
      <c r="W64">
        <v>116.1</v>
      </c>
      <c r="X64">
        <v>114.3</v>
      </c>
      <c r="Y64">
        <v>116.1</v>
      </c>
      <c r="Z64">
        <v>113.7</v>
      </c>
      <c r="AA64">
        <v>112</v>
      </c>
      <c r="AB64" s="1">
        <f t="shared" si="2"/>
        <v>114.625</v>
      </c>
      <c r="AC64">
        <v>113.1</v>
      </c>
      <c r="AD64">
        <v>118.6</v>
      </c>
      <c r="AE64">
        <v>109.5</v>
      </c>
      <c r="AF64">
        <f t="shared" si="3"/>
        <v>111.6</v>
      </c>
      <c r="AG64">
        <v>113.7</v>
      </c>
      <c r="AH64">
        <v>120.1</v>
      </c>
      <c r="AI64">
        <f t="shared" si="1"/>
        <v>116.9</v>
      </c>
    </row>
    <row r="65" spans="1:35" x14ac:dyDescent="0.25">
      <c r="A65" t="s">
        <v>28</v>
      </c>
      <c r="B65">
        <v>2014</v>
      </c>
      <c r="C65" t="s">
        <v>40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 s="1">
        <f>AVERAGE(Table1[[#This Row],[Cereals and products]:[Food and beverages]])</f>
        <v>121.63076923076922</v>
      </c>
      <c r="R65">
        <v>120</v>
      </c>
      <c r="S65">
        <v>122.7</v>
      </c>
      <c r="T65">
        <v>120.3</v>
      </c>
      <c r="U65">
        <v>122.3</v>
      </c>
      <c r="V65" s="1">
        <f>AVERAGE(Table1[[#This Row],[Clothing]:[Clothing and footwear]])</f>
        <v>121.76666666666667</v>
      </c>
      <c r="X65">
        <v>116.4</v>
      </c>
      <c r="Y65">
        <v>117.5</v>
      </c>
      <c r="Z65">
        <v>115.3</v>
      </c>
      <c r="AA65">
        <v>112.6</v>
      </c>
      <c r="AB65" s="1">
        <f t="shared" si="2"/>
        <v>115.5</v>
      </c>
      <c r="AC65">
        <v>113</v>
      </c>
      <c r="AD65">
        <v>116.9</v>
      </c>
      <c r="AE65">
        <v>109.3</v>
      </c>
      <c r="AF65">
        <f t="shared" si="3"/>
        <v>112.3</v>
      </c>
      <c r="AG65">
        <v>114</v>
      </c>
      <c r="AH65">
        <v>121</v>
      </c>
      <c r="AI65">
        <f t="shared" si="1"/>
        <v>117.5</v>
      </c>
    </row>
    <row r="66" spans="1:35" x14ac:dyDescent="0.25">
      <c r="A66" t="s">
        <v>30</v>
      </c>
      <c r="B66">
        <v>2014</v>
      </c>
      <c r="C66" t="s">
        <v>40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 s="1">
        <f>AVERAGE(Table1[[#This Row],[Cereals and products]:[Food and beverages]])</f>
        <v>122.11538461538461</v>
      </c>
      <c r="R66">
        <v>124.3</v>
      </c>
      <c r="S66">
        <v>119.6</v>
      </c>
      <c r="T66">
        <v>114.9</v>
      </c>
      <c r="U66">
        <v>118.9</v>
      </c>
      <c r="V66" s="1">
        <f>AVERAGE(Table1[[#This Row],[Clothing]:[Clothing and footwear]])</f>
        <v>117.8</v>
      </c>
      <c r="W66">
        <v>116.7</v>
      </c>
      <c r="X66">
        <v>112</v>
      </c>
      <c r="Y66">
        <v>115.8</v>
      </c>
      <c r="Z66">
        <v>112.6</v>
      </c>
      <c r="AA66">
        <v>111</v>
      </c>
      <c r="AB66" s="1">
        <f t="shared" ref="AB66:AB129" si="4">AVERAGE(W66,X66,Y66,AA66)</f>
        <v>113.875</v>
      </c>
      <c r="AC66">
        <v>113.6</v>
      </c>
      <c r="AD66">
        <v>120.2</v>
      </c>
      <c r="AE66">
        <v>110.1</v>
      </c>
      <c r="AF66">
        <f t="shared" ref="AF66:AF129" si="5">AVERAGE(Z66,AE66)</f>
        <v>111.35</v>
      </c>
      <c r="AG66">
        <v>113.7</v>
      </c>
      <c r="AH66">
        <v>119.1</v>
      </c>
      <c r="AI66">
        <f t="shared" ref="AI66:AI129" si="6">AVERAGE(AG66,AH66)</f>
        <v>116.4</v>
      </c>
    </row>
    <row r="67" spans="1:35" x14ac:dyDescent="0.25">
      <c r="A67" t="s">
        <v>31</v>
      </c>
      <c r="B67">
        <v>2014</v>
      </c>
      <c r="C67" t="s">
        <v>40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 s="1">
        <f>AVERAGE(Table1[[#This Row],[Cereals and products]:[Food and beverages]])</f>
        <v>121.74615384615385</v>
      </c>
      <c r="R67">
        <v>121.1</v>
      </c>
      <c r="S67">
        <v>121.5</v>
      </c>
      <c r="T67">
        <v>118.1</v>
      </c>
      <c r="U67">
        <v>121</v>
      </c>
      <c r="V67" s="1">
        <f>AVERAGE(Table1[[#This Row],[Clothing]:[Clothing and footwear]])</f>
        <v>120.2</v>
      </c>
      <c r="W67">
        <v>116.7</v>
      </c>
      <c r="X67">
        <v>114.7</v>
      </c>
      <c r="Y67">
        <v>116.7</v>
      </c>
      <c r="Z67">
        <v>114.3</v>
      </c>
      <c r="AA67">
        <v>111.8</v>
      </c>
      <c r="AB67" s="1">
        <f t="shared" si="4"/>
        <v>114.97500000000001</v>
      </c>
      <c r="AC67">
        <v>113.3</v>
      </c>
      <c r="AD67">
        <v>118.8</v>
      </c>
      <c r="AE67">
        <v>109.6</v>
      </c>
      <c r="AF67">
        <f t="shared" si="5"/>
        <v>111.94999999999999</v>
      </c>
      <c r="AG67">
        <v>113.9</v>
      </c>
      <c r="AH67">
        <v>120.1</v>
      </c>
      <c r="AI67">
        <f t="shared" si="6"/>
        <v>117</v>
      </c>
    </row>
    <row r="68" spans="1:35" x14ac:dyDescent="0.25">
      <c r="A68" t="s">
        <v>28</v>
      </c>
      <c r="B68">
        <v>2014</v>
      </c>
      <c r="C68" t="s">
        <v>42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 s="1">
        <f>AVERAGE(Table1[[#This Row],[Cereals and products]:[Food and beverages]])</f>
        <v>121.69230769230769</v>
      </c>
      <c r="R68">
        <v>120.8</v>
      </c>
      <c r="S68">
        <v>123.3</v>
      </c>
      <c r="T68">
        <v>120.5</v>
      </c>
      <c r="U68">
        <v>122.9</v>
      </c>
      <c r="V68" s="1">
        <f>AVERAGE(Table1[[#This Row],[Clothing]:[Clothing and footwear]])</f>
        <v>122.23333333333335</v>
      </c>
      <c r="X68">
        <v>117.3</v>
      </c>
      <c r="Y68">
        <v>118.1</v>
      </c>
      <c r="Z68">
        <v>115.9</v>
      </c>
      <c r="AA68">
        <v>112</v>
      </c>
      <c r="AB68" s="1">
        <f t="shared" si="4"/>
        <v>115.8</v>
      </c>
      <c r="AC68">
        <v>113.3</v>
      </c>
      <c r="AD68">
        <v>117.2</v>
      </c>
      <c r="AE68">
        <v>108.8</v>
      </c>
      <c r="AF68">
        <f t="shared" si="5"/>
        <v>112.35</v>
      </c>
      <c r="AG68">
        <v>114.1</v>
      </c>
      <c r="AH68">
        <v>121.1</v>
      </c>
      <c r="AI68">
        <f t="shared" si="6"/>
        <v>117.6</v>
      </c>
    </row>
    <row r="69" spans="1:35" x14ac:dyDescent="0.25">
      <c r="A69" t="s">
        <v>30</v>
      </c>
      <c r="B69">
        <v>2014</v>
      </c>
      <c r="C69" t="s">
        <v>42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 s="1">
        <f>AVERAGE(Table1[[#This Row],[Cereals and products]:[Food and beverages]])</f>
        <v>122.13846153846154</v>
      </c>
      <c r="R69">
        <v>125.8</v>
      </c>
      <c r="S69">
        <v>120.3</v>
      </c>
      <c r="T69">
        <v>115.4</v>
      </c>
      <c r="U69">
        <v>119.5</v>
      </c>
      <c r="V69" s="1">
        <f>AVERAGE(Table1[[#This Row],[Clothing]:[Clothing and footwear]])</f>
        <v>118.39999999999999</v>
      </c>
      <c r="W69">
        <v>117.1</v>
      </c>
      <c r="X69">
        <v>112.6</v>
      </c>
      <c r="Y69">
        <v>116.4</v>
      </c>
      <c r="Z69">
        <v>113</v>
      </c>
      <c r="AA69">
        <v>109.7</v>
      </c>
      <c r="AB69" s="1">
        <f t="shared" si="4"/>
        <v>113.95</v>
      </c>
      <c r="AC69">
        <v>114</v>
      </c>
      <c r="AD69">
        <v>120.3</v>
      </c>
      <c r="AE69">
        <v>109.6</v>
      </c>
      <c r="AF69">
        <f t="shared" si="5"/>
        <v>111.3</v>
      </c>
      <c r="AG69">
        <v>113.4</v>
      </c>
      <c r="AH69">
        <v>119</v>
      </c>
      <c r="AI69">
        <f t="shared" si="6"/>
        <v>116.2</v>
      </c>
    </row>
    <row r="70" spans="1:35" x14ac:dyDescent="0.25">
      <c r="A70" t="s">
        <v>31</v>
      </c>
      <c r="B70">
        <v>2014</v>
      </c>
      <c r="C70" t="s">
        <v>42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 s="1">
        <f>AVERAGE(Table1[[#This Row],[Cereals and products]:[Food and beverages]])</f>
        <v>121.78461538461539</v>
      </c>
      <c r="R70">
        <v>122.1</v>
      </c>
      <c r="S70">
        <v>122.1</v>
      </c>
      <c r="T70">
        <v>118.4</v>
      </c>
      <c r="U70">
        <v>121.6</v>
      </c>
      <c r="V70" s="1">
        <f>AVERAGE(Table1[[#This Row],[Clothing]:[Clothing and footwear]])</f>
        <v>120.7</v>
      </c>
      <c r="W70">
        <v>117.1</v>
      </c>
      <c r="X70">
        <v>115.5</v>
      </c>
      <c r="Y70">
        <v>117.3</v>
      </c>
      <c r="Z70">
        <v>114.8</v>
      </c>
      <c r="AA70">
        <v>110.8</v>
      </c>
      <c r="AB70" s="1">
        <f t="shared" si="4"/>
        <v>115.175</v>
      </c>
      <c r="AC70">
        <v>113.7</v>
      </c>
      <c r="AD70">
        <v>119</v>
      </c>
      <c r="AE70">
        <v>109.1</v>
      </c>
      <c r="AF70">
        <f t="shared" si="5"/>
        <v>111.94999999999999</v>
      </c>
      <c r="AG70">
        <v>113.8</v>
      </c>
      <c r="AH70">
        <v>120.1</v>
      </c>
      <c r="AI70">
        <f t="shared" si="6"/>
        <v>116.94999999999999</v>
      </c>
    </row>
    <row r="71" spans="1:35" x14ac:dyDescent="0.25">
      <c r="A71" t="s">
        <v>28</v>
      </c>
      <c r="B71">
        <v>2014</v>
      </c>
      <c r="C71" t="s">
        <v>43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 s="1">
        <f>AVERAGE(Table1[[#This Row],[Cereals and products]:[Food and beverages]])</f>
        <v>120.73846153846154</v>
      </c>
      <c r="R71">
        <v>121.7</v>
      </c>
      <c r="S71">
        <v>123.8</v>
      </c>
      <c r="T71">
        <v>120.6</v>
      </c>
      <c r="U71">
        <v>123.3</v>
      </c>
      <c r="V71" s="1">
        <f>AVERAGE(Table1[[#This Row],[Clothing]:[Clothing and footwear]])</f>
        <v>122.56666666666666</v>
      </c>
      <c r="X71">
        <v>117.4</v>
      </c>
      <c r="Y71">
        <v>118.2</v>
      </c>
      <c r="Z71">
        <v>116.2</v>
      </c>
      <c r="AA71">
        <v>111.5</v>
      </c>
      <c r="AB71" s="1">
        <f t="shared" si="4"/>
        <v>115.7</v>
      </c>
      <c r="AC71">
        <v>113.3</v>
      </c>
      <c r="AD71">
        <v>117.7</v>
      </c>
      <c r="AE71">
        <v>109.4</v>
      </c>
      <c r="AF71">
        <f t="shared" si="5"/>
        <v>112.80000000000001</v>
      </c>
      <c r="AG71">
        <v>114.2</v>
      </c>
      <c r="AH71">
        <v>120.3</v>
      </c>
      <c r="AI71">
        <f t="shared" si="6"/>
        <v>117.25</v>
      </c>
    </row>
    <row r="72" spans="1:35" x14ac:dyDescent="0.25">
      <c r="A72" t="s">
        <v>30</v>
      </c>
      <c r="B72">
        <v>2014</v>
      </c>
      <c r="C72" t="s">
        <v>43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 s="1">
        <f>AVERAGE(Table1[[#This Row],[Cereals and products]:[Food and beverages]])</f>
        <v>121.32307692307691</v>
      </c>
      <c r="R72">
        <v>126.4</v>
      </c>
      <c r="S72">
        <v>120.7</v>
      </c>
      <c r="T72">
        <v>115.8</v>
      </c>
      <c r="U72">
        <v>120</v>
      </c>
      <c r="V72" s="1">
        <f>AVERAGE(Table1[[#This Row],[Clothing]:[Clothing and footwear]])</f>
        <v>118.83333333333333</v>
      </c>
      <c r="W72">
        <v>116.5</v>
      </c>
      <c r="X72">
        <v>113</v>
      </c>
      <c r="Y72">
        <v>116.8</v>
      </c>
      <c r="Z72">
        <v>113.2</v>
      </c>
      <c r="AA72">
        <v>108.8</v>
      </c>
      <c r="AB72" s="1">
        <f t="shared" si="4"/>
        <v>113.77500000000001</v>
      </c>
      <c r="AC72">
        <v>114.3</v>
      </c>
      <c r="AD72">
        <v>120.7</v>
      </c>
      <c r="AE72">
        <v>110.4</v>
      </c>
      <c r="AF72">
        <f t="shared" si="5"/>
        <v>111.80000000000001</v>
      </c>
      <c r="AG72">
        <v>113.4</v>
      </c>
      <c r="AH72">
        <v>118.4</v>
      </c>
      <c r="AI72">
        <f t="shared" si="6"/>
        <v>115.9</v>
      </c>
    </row>
    <row r="73" spans="1:35" x14ac:dyDescent="0.25">
      <c r="A73" t="s">
        <v>31</v>
      </c>
      <c r="B73">
        <v>2014</v>
      </c>
      <c r="C73" t="s">
        <v>43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 s="1">
        <f>AVERAGE(Table1[[#This Row],[Cereals and products]:[Food and beverages]])</f>
        <v>120.89999999999999</v>
      </c>
      <c r="R73">
        <v>123</v>
      </c>
      <c r="S73">
        <v>122.6</v>
      </c>
      <c r="T73">
        <v>118.6</v>
      </c>
      <c r="U73">
        <v>122</v>
      </c>
      <c r="V73" s="1">
        <f>AVERAGE(Table1[[#This Row],[Clothing]:[Clothing and footwear]])</f>
        <v>121.06666666666666</v>
      </c>
      <c r="W73">
        <v>116.5</v>
      </c>
      <c r="X73">
        <v>115.7</v>
      </c>
      <c r="Y73">
        <v>117.5</v>
      </c>
      <c r="Z73">
        <v>115.1</v>
      </c>
      <c r="AA73">
        <v>110.1</v>
      </c>
      <c r="AB73" s="1">
        <f t="shared" si="4"/>
        <v>114.94999999999999</v>
      </c>
      <c r="AC73">
        <v>113.9</v>
      </c>
      <c r="AD73">
        <v>119.5</v>
      </c>
      <c r="AE73">
        <v>109.8</v>
      </c>
      <c r="AF73">
        <f t="shared" si="5"/>
        <v>112.44999999999999</v>
      </c>
      <c r="AG73">
        <v>113.8</v>
      </c>
      <c r="AH73">
        <v>119.4</v>
      </c>
      <c r="AI73">
        <f t="shared" si="6"/>
        <v>116.6</v>
      </c>
    </row>
    <row r="74" spans="1:35" x14ac:dyDescent="0.25">
      <c r="A74" t="s">
        <v>28</v>
      </c>
      <c r="B74">
        <v>2015</v>
      </c>
      <c r="C74" t="s">
        <v>29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 s="1">
        <f>AVERAGE(Table1[[#This Row],[Cereals and products]:[Food and beverages]])</f>
        <v>120.62307692307692</v>
      </c>
      <c r="R74">
        <v>122.7</v>
      </c>
      <c r="S74">
        <v>124.4</v>
      </c>
      <c r="T74">
        <v>121.6</v>
      </c>
      <c r="U74">
        <v>124</v>
      </c>
      <c r="V74" s="1">
        <f>AVERAGE(Table1[[#This Row],[Clothing]:[Clothing and footwear]])</f>
        <v>123.33333333333333</v>
      </c>
      <c r="X74">
        <v>118.4</v>
      </c>
      <c r="Y74">
        <v>118.9</v>
      </c>
      <c r="Z74">
        <v>116.6</v>
      </c>
      <c r="AA74">
        <v>111</v>
      </c>
      <c r="AB74" s="1">
        <f t="shared" si="4"/>
        <v>116.10000000000001</v>
      </c>
      <c r="AC74">
        <v>114</v>
      </c>
      <c r="AD74">
        <v>118.2</v>
      </c>
      <c r="AE74">
        <v>110.2</v>
      </c>
      <c r="AF74">
        <f t="shared" si="5"/>
        <v>113.4</v>
      </c>
      <c r="AG74">
        <v>114.5</v>
      </c>
      <c r="AH74">
        <v>120.3</v>
      </c>
      <c r="AI74">
        <f t="shared" si="6"/>
        <v>117.4</v>
      </c>
    </row>
    <row r="75" spans="1:35" x14ac:dyDescent="0.25">
      <c r="A75" t="s">
        <v>30</v>
      </c>
      <c r="B75">
        <v>2015</v>
      </c>
      <c r="C75" t="s">
        <v>29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 s="1">
        <f>AVERAGE(Table1[[#This Row],[Cereals and products]:[Food and beverages]])</f>
        <v>121.14615384615384</v>
      </c>
      <c r="R75">
        <v>127.4</v>
      </c>
      <c r="S75">
        <v>121</v>
      </c>
      <c r="T75">
        <v>116.1</v>
      </c>
      <c r="U75">
        <v>120.2</v>
      </c>
      <c r="V75" s="1">
        <f>AVERAGE(Table1[[#This Row],[Clothing]:[Clothing and footwear]])</f>
        <v>119.10000000000001</v>
      </c>
      <c r="W75">
        <v>117.3</v>
      </c>
      <c r="X75">
        <v>113.4</v>
      </c>
      <c r="Y75">
        <v>117.2</v>
      </c>
      <c r="Z75">
        <v>113.7</v>
      </c>
      <c r="AA75">
        <v>107.9</v>
      </c>
      <c r="AB75" s="1">
        <f t="shared" si="4"/>
        <v>113.94999999999999</v>
      </c>
      <c r="AC75">
        <v>114.6</v>
      </c>
      <c r="AD75">
        <v>120.8</v>
      </c>
      <c r="AE75">
        <v>111.4</v>
      </c>
      <c r="AF75">
        <f t="shared" si="5"/>
        <v>112.55000000000001</v>
      </c>
      <c r="AG75">
        <v>113.4</v>
      </c>
      <c r="AH75">
        <v>118.5</v>
      </c>
      <c r="AI75">
        <f t="shared" si="6"/>
        <v>115.95</v>
      </c>
    </row>
    <row r="76" spans="1:35" x14ac:dyDescent="0.25">
      <c r="A76" t="s">
        <v>31</v>
      </c>
      <c r="B76">
        <v>2015</v>
      </c>
      <c r="C76" t="s">
        <v>29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 s="1">
        <f>AVERAGE(Table1[[#This Row],[Cereals and products]:[Food and beverages]])</f>
        <v>120.71538461538461</v>
      </c>
      <c r="R76">
        <v>124</v>
      </c>
      <c r="S76">
        <v>123.1</v>
      </c>
      <c r="T76">
        <v>119.3</v>
      </c>
      <c r="U76">
        <v>122.5</v>
      </c>
      <c r="V76" s="1">
        <f>AVERAGE(Table1[[#This Row],[Clothing]:[Clothing and footwear]])</f>
        <v>121.63333333333333</v>
      </c>
      <c r="W76">
        <v>117.3</v>
      </c>
      <c r="X76">
        <v>116.5</v>
      </c>
      <c r="Y76">
        <v>118.1</v>
      </c>
      <c r="Z76">
        <v>115.5</v>
      </c>
      <c r="AA76">
        <v>109.4</v>
      </c>
      <c r="AB76" s="1">
        <f t="shared" si="4"/>
        <v>115.32499999999999</v>
      </c>
      <c r="AC76">
        <v>114.3</v>
      </c>
      <c r="AD76">
        <v>119.7</v>
      </c>
      <c r="AE76">
        <v>110.7</v>
      </c>
      <c r="AF76">
        <f t="shared" si="5"/>
        <v>113.1</v>
      </c>
      <c r="AG76">
        <v>114</v>
      </c>
      <c r="AH76">
        <v>119.5</v>
      </c>
      <c r="AI76">
        <f t="shared" si="6"/>
        <v>116.75</v>
      </c>
    </row>
    <row r="77" spans="1:35" x14ac:dyDescent="0.25">
      <c r="A77" t="s">
        <v>28</v>
      </c>
      <c r="B77">
        <v>2015</v>
      </c>
      <c r="C77" t="s">
        <v>32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 s="1">
        <f>AVERAGE(Table1[[#This Row],[Cereals and products]:[Food and beverages]])</f>
        <v>120.81538461538459</v>
      </c>
      <c r="R77">
        <v>124.2</v>
      </c>
      <c r="S77">
        <v>125.4</v>
      </c>
      <c r="T77">
        <v>122.7</v>
      </c>
      <c r="U77">
        <v>125</v>
      </c>
      <c r="V77" s="1">
        <f>AVERAGE(Table1[[#This Row],[Clothing]:[Clothing and footwear]])</f>
        <v>124.36666666666667</v>
      </c>
      <c r="X77">
        <v>120</v>
      </c>
      <c r="Y77">
        <v>119.6</v>
      </c>
      <c r="Z77">
        <v>117.7</v>
      </c>
      <c r="AA77">
        <v>110.9</v>
      </c>
      <c r="AB77" s="1">
        <f t="shared" si="4"/>
        <v>116.83333333333333</v>
      </c>
      <c r="AC77">
        <v>114.8</v>
      </c>
      <c r="AD77">
        <v>118.7</v>
      </c>
      <c r="AE77">
        <v>110.8</v>
      </c>
      <c r="AF77">
        <f t="shared" si="5"/>
        <v>114.25</v>
      </c>
      <c r="AG77">
        <v>115</v>
      </c>
      <c r="AH77">
        <v>120.6</v>
      </c>
      <c r="AI77">
        <f t="shared" si="6"/>
        <v>117.8</v>
      </c>
    </row>
    <row r="78" spans="1:35" x14ac:dyDescent="0.25">
      <c r="A78" t="s">
        <v>30</v>
      </c>
      <c r="B78">
        <v>2015</v>
      </c>
      <c r="C78" t="s">
        <v>32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 s="1">
        <f>AVERAGE(Table1[[#This Row],[Cereals and products]:[Food and beverages]])</f>
        <v>120.85384615384616</v>
      </c>
      <c r="R78">
        <v>128.1</v>
      </c>
      <c r="S78">
        <v>121.3</v>
      </c>
      <c r="T78">
        <v>116.5</v>
      </c>
      <c r="U78">
        <v>120.6</v>
      </c>
      <c r="V78" s="1">
        <f>AVERAGE(Table1[[#This Row],[Clothing]:[Clothing and footwear]])</f>
        <v>119.46666666666665</v>
      </c>
      <c r="W78">
        <v>118.1</v>
      </c>
      <c r="X78">
        <v>114</v>
      </c>
      <c r="Y78">
        <v>117.7</v>
      </c>
      <c r="Z78">
        <v>114.1</v>
      </c>
      <c r="AA78">
        <v>106.8</v>
      </c>
      <c r="AB78" s="1">
        <f t="shared" si="4"/>
        <v>114.15</v>
      </c>
      <c r="AC78">
        <v>114.9</v>
      </c>
      <c r="AD78">
        <v>120.4</v>
      </c>
      <c r="AE78">
        <v>111.7</v>
      </c>
      <c r="AF78">
        <f t="shared" si="5"/>
        <v>112.9</v>
      </c>
      <c r="AG78">
        <v>113.2</v>
      </c>
      <c r="AH78">
        <v>118.7</v>
      </c>
      <c r="AI78">
        <f t="shared" si="6"/>
        <v>115.95</v>
      </c>
    </row>
    <row r="79" spans="1:35" x14ac:dyDescent="0.25">
      <c r="A79" t="s">
        <v>31</v>
      </c>
      <c r="B79">
        <v>2015</v>
      </c>
      <c r="C79" t="s">
        <v>32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 s="1">
        <f>AVERAGE(Table1[[#This Row],[Cereals and products]:[Food and beverages]])</f>
        <v>120.72307692307689</v>
      </c>
      <c r="R79">
        <v>125.2</v>
      </c>
      <c r="S79">
        <v>123.8</v>
      </c>
      <c r="T79">
        <v>120.1</v>
      </c>
      <c r="U79">
        <v>123.3</v>
      </c>
      <c r="V79" s="1">
        <f>AVERAGE(Table1[[#This Row],[Clothing]:[Clothing and footwear]])</f>
        <v>122.39999999999999</v>
      </c>
      <c r="W79">
        <v>118.1</v>
      </c>
      <c r="X79">
        <v>117.7</v>
      </c>
      <c r="Y79">
        <v>118.7</v>
      </c>
      <c r="Z79">
        <v>116.3</v>
      </c>
      <c r="AA79">
        <v>108.7</v>
      </c>
      <c r="AB79" s="1">
        <f t="shared" si="4"/>
        <v>115.8</v>
      </c>
      <c r="AC79">
        <v>114.9</v>
      </c>
      <c r="AD79">
        <v>119.7</v>
      </c>
      <c r="AE79">
        <v>111.2</v>
      </c>
      <c r="AF79">
        <f t="shared" si="5"/>
        <v>113.75</v>
      </c>
      <c r="AG79">
        <v>114.1</v>
      </c>
      <c r="AH79">
        <v>119.7</v>
      </c>
      <c r="AI79">
        <f t="shared" si="6"/>
        <v>116.9</v>
      </c>
    </row>
    <row r="80" spans="1:35" x14ac:dyDescent="0.25">
      <c r="A80" t="s">
        <v>28</v>
      </c>
      <c r="B80">
        <v>2015</v>
      </c>
      <c r="C80" t="s">
        <v>33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 s="1">
        <f>AVERAGE(Table1[[#This Row],[Cereals and products]:[Food and beverages]])</f>
        <v>120.88461538461539</v>
      </c>
      <c r="R80">
        <v>124.7</v>
      </c>
      <c r="S80">
        <v>126</v>
      </c>
      <c r="T80">
        <v>122.9</v>
      </c>
      <c r="U80">
        <v>125.5</v>
      </c>
      <c r="V80" s="1">
        <f>AVERAGE(Table1[[#This Row],[Clothing]:[Clothing and footwear]])</f>
        <v>124.8</v>
      </c>
      <c r="X80">
        <v>120.6</v>
      </c>
      <c r="Y80">
        <v>120.2</v>
      </c>
      <c r="Z80">
        <v>118.2</v>
      </c>
      <c r="AA80">
        <v>111.6</v>
      </c>
      <c r="AB80" s="1">
        <f t="shared" si="4"/>
        <v>117.46666666666665</v>
      </c>
      <c r="AC80">
        <v>115.5</v>
      </c>
      <c r="AD80">
        <v>119.4</v>
      </c>
      <c r="AE80">
        <v>110.8</v>
      </c>
      <c r="AF80">
        <f t="shared" si="5"/>
        <v>114.5</v>
      </c>
      <c r="AG80">
        <v>115.5</v>
      </c>
      <c r="AH80">
        <v>121.1</v>
      </c>
      <c r="AI80">
        <f t="shared" si="6"/>
        <v>118.3</v>
      </c>
    </row>
    <row r="81" spans="1:35" x14ac:dyDescent="0.25">
      <c r="A81" t="s">
        <v>30</v>
      </c>
      <c r="B81">
        <v>2015</v>
      </c>
      <c r="C81" t="s">
        <v>33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 s="1">
        <f>AVERAGE(Table1[[#This Row],[Cereals and products]:[Food and beverages]])</f>
        <v>120.61538461538463</v>
      </c>
      <c r="R81">
        <v>128.80000000000001</v>
      </c>
      <c r="S81">
        <v>121.7</v>
      </c>
      <c r="T81">
        <v>116.9</v>
      </c>
      <c r="U81">
        <v>120.9</v>
      </c>
      <c r="V81" s="1">
        <f>AVERAGE(Table1[[#This Row],[Clothing]:[Clothing and footwear]])</f>
        <v>119.83333333333333</v>
      </c>
      <c r="W81">
        <v>118.6</v>
      </c>
      <c r="X81">
        <v>114.4</v>
      </c>
      <c r="Y81">
        <v>118</v>
      </c>
      <c r="Z81">
        <v>114.3</v>
      </c>
      <c r="AA81">
        <v>108.4</v>
      </c>
      <c r="AB81" s="1">
        <f t="shared" si="4"/>
        <v>114.85</v>
      </c>
      <c r="AC81">
        <v>115.4</v>
      </c>
      <c r="AD81">
        <v>120.6</v>
      </c>
      <c r="AE81">
        <v>111.3</v>
      </c>
      <c r="AF81">
        <f t="shared" si="5"/>
        <v>112.8</v>
      </c>
      <c r="AG81">
        <v>113.8</v>
      </c>
      <c r="AH81">
        <v>119.1</v>
      </c>
      <c r="AI81">
        <f t="shared" si="6"/>
        <v>116.44999999999999</v>
      </c>
    </row>
    <row r="82" spans="1:35" x14ac:dyDescent="0.25">
      <c r="A82" t="s">
        <v>31</v>
      </c>
      <c r="B82">
        <v>2015</v>
      </c>
      <c r="C82" t="s">
        <v>33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 s="1">
        <f>AVERAGE(Table1[[#This Row],[Cereals and products]:[Food and beverages]])</f>
        <v>120.69999999999999</v>
      </c>
      <c r="R82">
        <v>125.8</v>
      </c>
      <c r="S82">
        <v>124.3</v>
      </c>
      <c r="T82">
        <v>120.4</v>
      </c>
      <c r="U82">
        <v>123.7</v>
      </c>
      <c r="V82" s="1">
        <f>AVERAGE(Table1[[#This Row],[Clothing]:[Clothing and footwear]])</f>
        <v>122.8</v>
      </c>
      <c r="W82">
        <v>118.6</v>
      </c>
      <c r="X82">
        <v>118.3</v>
      </c>
      <c r="Y82">
        <v>119.2</v>
      </c>
      <c r="Z82">
        <v>116.7</v>
      </c>
      <c r="AA82">
        <v>109.9</v>
      </c>
      <c r="AB82" s="1">
        <f t="shared" si="4"/>
        <v>116.5</v>
      </c>
      <c r="AC82">
        <v>115.4</v>
      </c>
      <c r="AD82">
        <v>120.1</v>
      </c>
      <c r="AE82">
        <v>111</v>
      </c>
      <c r="AF82">
        <f t="shared" si="5"/>
        <v>113.85</v>
      </c>
      <c r="AG82">
        <v>114.7</v>
      </c>
      <c r="AH82">
        <v>120.2</v>
      </c>
      <c r="AI82">
        <f t="shared" si="6"/>
        <v>117.45</v>
      </c>
    </row>
    <row r="83" spans="1:35" x14ac:dyDescent="0.25">
      <c r="A83" t="s">
        <v>28</v>
      </c>
      <c r="B83">
        <v>2015</v>
      </c>
      <c r="C83" t="s">
        <v>34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 s="1">
        <f>AVERAGE(Table1[[#This Row],[Cereals and products]:[Food and beverages]])</f>
        <v>121.32307692307693</v>
      </c>
      <c r="R83">
        <v>125.7</v>
      </c>
      <c r="S83">
        <v>126.4</v>
      </c>
      <c r="T83">
        <v>123.3</v>
      </c>
      <c r="U83">
        <v>126</v>
      </c>
      <c r="V83" s="1">
        <f>AVERAGE(Table1[[#This Row],[Clothing]:[Clothing and footwear]])</f>
        <v>125.23333333333333</v>
      </c>
      <c r="X83">
        <v>121.2</v>
      </c>
      <c r="Y83">
        <v>120.9</v>
      </c>
      <c r="Z83">
        <v>118.6</v>
      </c>
      <c r="AA83">
        <v>111.9</v>
      </c>
      <c r="AB83" s="1">
        <f t="shared" si="4"/>
        <v>118</v>
      </c>
      <c r="AC83">
        <v>116.2</v>
      </c>
      <c r="AD83">
        <v>119.9</v>
      </c>
      <c r="AE83">
        <v>111.6</v>
      </c>
      <c r="AF83">
        <f t="shared" si="5"/>
        <v>115.1</v>
      </c>
      <c r="AG83">
        <v>116</v>
      </c>
      <c r="AH83">
        <v>121.5</v>
      </c>
      <c r="AI83">
        <f t="shared" si="6"/>
        <v>118.75</v>
      </c>
    </row>
    <row r="84" spans="1:35" x14ac:dyDescent="0.25">
      <c r="A84" t="s">
        <v>30</v>
      </c>
      <c r="B84">
        <v>2015</v>
      </c>
      <c r="C84" t="s">
        <v>34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 s="1">
        <f>AVERAGE(Table1[[#This Row],[Cereals and products]:[Food and beverages]])</f>
        <v>121.23846153846154</v>
      </c>
      <c r="R84">
        <v>130.1</v>
      </c>
      <c r="S84">
        <v>122.1</v>
      </c>
      <c r="T84">
        <v>117.2</v>
      </c>
      <c r="U84">
        <v>121.3</v>
      </c>
      <c r="V84" s="1">
        <f>AVERAGE(Table1[[#This Row],[Clothing]:[Clothing and footwear]])</f>
        <v>120.2</v>
      </c>
      <c r="W84">
        <v>119.2</v>
      </c>
      <c r="X84">
        <v>114.7</v>
      </c>
      <c r="Y84">
        <v>118.4</v>
      </c>
      <c r="Z84">
        <v>114.6</v>
      </c>
      <c r="AA84">
        <v>108.4</v>
      </c>
      <c r="AB84" s="1">
        <f t="shared" si="4"/>
        <v>115.17500000000001</v>
      </c>
      <c r="AC84">
        <v>115.6</v>
      </c>
      <c r="AD84">
        <v>121.7</v>
      </c>
      <c r="AE84">
        <v>111.8</v>
      </c>
      <c r="AF84">
        <f t="shared" si="5"/>
        <v>113.19999999999999</v>
      </c>
      <c r="AG84">
        <v>114.2</v>
      </c>
      <c r="AH84">
        <v>119.7</v>
      </c>
      <c r="AI84">
        <f t="shared" si="6"/>
        <v>116.95</v>
      </c>
    </row>
    <row r="85" spans="1:35" x14ac:dyDescent="0.25">
      <c r="A85" t="s">
        <v>31</v>
      </c>
      <c r="B85">
        <v>2015</v>
      </c>
      <c r="C85" t="s">
        <v>34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 s="1">
        <f>AVERAGE(Table1[[#This Row],[Cereals and products]:[Food and beverages]])</f>
        <v>121.20769230769231</v>
      </c>
      <c r="R85">
        <v>126.9</v>
      </c>
      <c r="S85">
        <v>124.7</v>
      </c>
      <c r="T85">
        <v>120.8</v>
      </c>
      <c r="U85">
        <v>124.1</v>
      </c>
      <c r="V85" s="1">
        <f>AVERAGE(Table1[[#This Row],[Clothing]:[Clothing and footwear]])</f>
        <v>123.2</v>
      </c>
      <c r="W85">
        <v>119.2</v>
      </c>
      <c r="X85">
        <v>118.7</v>
      </c>
      <c r="Y85">
        <v>119.7</v>
      </c>
      <c r="Z85">
        <v>117.1</v>
      </c>
      <c r="AA85">
        <v>110.1</v>
      </c>
      <c r="AB85" s="1">
        <f t="shared" si="4"/>
        <v>116.92500000000001</v>
      </c>
      <c r="AC85">
        <v>115.9</v>
      </c>
      <c r="AD85">
        <v>121</v>
      </c>
      <c r="AE85">
        <v>111.7</v>
      </c>
      <c r="AF85">
        <f t="shared" si="5"/>
        <v>114.4</v>
      </c>
      <c r="AG85">
        <v>115.1</v>
      </c>
      <c r="AH85">
        <v>120.7</v>
      </c>
      <c r="AI85">
        <f t="shared" si="6"/>
        <v>117.9</v>
      </c>
    </row>
    <row r="86" spans="1:35" x14ac:dyDescent="0.25">
      <c r="A86" t="s">
        <v>28</v>
      </c>
      <c r="B86">
        <v>2015</v>
      </c>
      <c r="C86" t="s">
        <v>35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 s="1">
        <f>AVERAGE(Table1[[#This Row],[Cereals and products]:[Food and beverages]])</f>
        <v>122.13076923076923</v>
      </c>
      <c r="R86">
        <v>126.7</v>
      </c>
      <c r="S86">
        <v>127.3</v>
      </c>
      <c r="T86">
        <v>124.1</v>
      </c>
      <c r="U86">
        <v>126.8</v>
      </c>
      <c r="V86" s="1">
        <f>AVERAGE(Table1[[#This Row],[Clothing]:[Clothing and footwear]])</f>
        <v>126.06666666666666</v>
      </c>
      <c r="X86">
        <v>121.9</v>
      </c>
      <c r="Y86">
        <v>121.5</v>
      </c>
      <c r="Z86">
        <v>119.4</v>
      </c>
      <c r="AA86">
        <v>113.3</v>
      </c>
      <c r="AB86" s="1">
        <f t="shared" si="4"/>
        <v>118.89999999999999</v>
      </c>
      <c r="AC86">
        <v>116.7</v>
      </c>
      <c r="AD86">
        <v>120.5</v>
      </c>
      <c r="AE86">
        <v>112.3</v>
      </c>
      <c r="AF86">
        <f t="shared" si="5"/>
        <v>115.85</v>
      </c>
      <c r="AG86">
        <v>116.9</v>
      </c>
      <c r="AH86">
        <v>122.4</v>
      </c>
      <c r="AI86">
        <f t="shared" si="6"/>
        <v>119.65</v>
      </c>
    </row>
    <row r="87" spans="1:35" x14ac:dyDescent="0.25">
      <c r="A87" t="s">
        <v>30</v>
      </c>
      <c r="B87">
        <v>2015</v>
      </c>
      <c r="C87" t="s">
        <v>35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 s="1">
        <f>AVERAGE(Table1[[#This Row],[Cereals and products]:[Food and beverages]])</f>
        <v>122.9923076923077</v>
      </c>
      <c r="R87">
        <v>131.30000000000001</v>
      </c>
      <c r="S87">
        <v>122.4</v>
      </c>
      <c r="T87">
        <v>117.4</v>
      </c>
      <c r="U87">
        <v>121.6</v>
      </c>
      <c r="V87" s="1">
        <f>AVERAGE(Table1[[#This Row],[Clothing]:[Clothing and footwear]])</f>
        <v>120.46666666666665</v>
      </c>
      <c r="W87">
        <v>119.6</v>
      </c>
      <c r="X87">
        <v>114.9</v>
      </c>
      <c r="Y87">
        <v>118.7</v>
      </c>
      <c r="Z87">
        <v>114.9</v>
      </c>
      <c r="AA87">
        <v>110.8</v>
      </c>
      <c r="AB87" s="1">
        <f t="shared" si="4"/>
        <v>116</v>
      </c>
      <c r="AC87">
        <v>116</v>
      </c>
      <c r="AD87">
        <v>122</v>
      </c>
      <c r="AE87">
        <v>112.4</v>
      </c>
      <c r="AF87">
        <f t="shared" si="5"/>
        <v>113.65</v>
      </c>
      <c r="AG87">
        <v>115.2</v>
      </c>
      <c r="AH87">
        <v>120.7</v>
      </c>
      <c r="AI87">
        <f t="shared" si="6"/>
        <v>117.95</v>
      </c>
    </row>
    <row r="88" spans="1:35" x14ac:dyDescent="0.25">
      <c r="A88" t="s">
        <v>31</v>
      </c>
      <c r="B88">
        <v>2015</v>
      </c>
      <c r="C88" t="s">
        <v>35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 s="1">
        <f>AVERAGE(Table1[[#This Row],[Cereals and products]:[Food and beverages]])</f>
        <v>122.33846153846154</v>
      </c>
      <c r="R88">
        <v>127.9</v>
      </c>
      <c r="S88">
        <v>125.4</v>
      </c>
      <c r="T88">
        <v>121.3</v>
      </c>
      <c r="U88">
        <v>124.7</v>
      </c>
      <c r="V88" s="1">
        <f>AVERAGE(Table1[[#This Row],[Clothing]:[Clothing and footwear]])</f>
        <v>123.8</v>
      </c>
      <c r="W88">
        <v>119.6</v>
      </c>
      <c r="X88">
        <v>119.2</v>
      </c>
      <c r="Y88">
        <v>120.2</v>
      </c>
      <c r="Z88">
        <v>117.7</v>
      </c>
      <c r="AA88">
        <v>112</v>
      </c>
      <c r="AB88" s="1">
        <f t="shared" si="4"/>
        <v>117.75</v>
      </c>
      <c r="AC88">
        <v>116.3</v>
      </c>
      <c r="AD88">
        <v>121.4</v>
      </c>
      <c r="AE88">
        <v>112.3</v>
      </c>
      <c r="AF88">
        <f t="shared" si="5"/>
        <v>115</v>
      </c>
      <c r="AG88">
        <v>116.1</v>
      </c>
      <c r="AH88">
        <v>121.6</v>
      </c>
      <c r="AI88">
        <f t="shared" si="6"/>
        <v>118.85</v>
      </c>
    </row>
    <row r="89" spans="1:35" x14ac:dyDescent="0.25">
      <c r="A89" t="s">
        <v>28</v>
      </c>
      <c r="B89">
        <v>2015</v>
      </c>
      <c r="C89" t="s">
        <v>36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 s="1">
        <f>AVERAGE(Table1[[#This Row],[Cereals and products]:[Food and beverages]])</f>
        <v>124.45384615384614</v>
      </c>
      <c r="R89">
        <v>128.19999999999999</v>
      </c>
      <c r="S89">
        <v>128.4</v>
      </c>
      <c r="T89">
        <v>125.1</v>
      </c>
      <c r="U89">
        <v>128</v>
      </c>
      <c r="V89" s="1">
        <f>AVERAGE(Table1[[#This Row],[Clothing]:[Clothing and footwear]])</f>
        <v>127.16666666666667</v>
      </c>
      <c r="X89">
        <v>122.6</v>
      </c>
      <c r="Y89">
        <v>122.8</v>
      </c>
      <c r="Z89">
        <v>120.4</v>
      </c>
      <c r="AA89">
        <v>114.2</v>
      </c>
      <c r="AB89" s="1">
        <f t="shared" si="4"/>
        <v>119.86666666666666</v>
      </c>
      <c r="AC89">
        <v>117.9</v>
      </c>
      <c r="AD89">
        <v>122</v>
      </c>
      <c r="AE89">
        <v>113</v>
      </c>
      <c r="AF89">
        <f t="shared" si="5"/>
        <v>116.7</v>
      </c>
      <c r="AG89">
        <v>117.9</v>
      </c>
      <c r="AH89">
        <v>124.1</v>
      </c>
      <c r="AI89">
        <f t="shared" si="6"/>
        <v>121</v>
      </c>
    </row>
    <row r="90" spans="1:35" x14ac:dyDescent="0.25">
      <c r="A90" t="s">
        <v>30</v>
      </c>
      <c r="B90">
        <v>2015</v>
      </c>
      <c r="C90" t="s">
        <v>36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 s="1">
        <f>AVERAGE(Table1[[#This Row],[Cereals and products]:[Food and beverages]])</f>
        <v>125.89230769230768</v>
      </c>
      <c r="R90">
        <v>132.1</v>
      </c>
      <c r="S90">
        <v>123.2</v>
      </c>
      <c r="T90">
        <v>117.6</v>
      </c>
      <c r="U90">
        <v>122.3</v>
      </c>
      <c r="V90" s="1">
        <f>AVERAGE(Table1[[#This Row],[Clothing]:[Clothing and footwear]])</f>
        <v>121.03333333333335</v>
      </c>
      <c r="W90">
        <v>119</v>
      </c>
      <c r="X90">
        <v>115.1</v>
      </c>
      <c r="Y90">
        <v>119.2</v>
      </c>
      <c r="Z90">
        <v>115.4</v>
      </c>
      <c r="AA90">
        <v>111.7</v>
      </c>
      <c r="AB90" s="1">
        <f t="shared" si="4"/>
        <v>116.25</v>
      </c>
      <c r="AC90">
        <v>116.2</v>
      </c>
      <c r="AD90">
        <v>123.8</v>
      </c>
      <c r="AE90">
        <v>112.5</v>
      </c>
      <c r="AF90">
        <f t="shared" si="5"/>
        <v>113.95</v>
      </c>
      <c r="AG90">
        <v>116</v>
      </c>
      <c r="AH90">
        <v>121.7</v>
      </c>
      <c r="AI90">
        <f t="shared" si="6"/>
        <v>118.85</v>
      </c>
    </row>
    <row r="91" spans="1:35" x14ac:dyDescent="0.25">
      <c r="A91" t="s">
        <v>31</v>
      </c>
      <c r="B91">
        <v>2015</v>
      </c>
      <c r="C91" t="s">
        <v>36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 s="1">
        <f>AVERAGE(Table1[[#This Row],[Cereals and products]:[Food and beverages]])</f>
        <v>124.88461538461539</v>
      </c>
      <c r="R91">
        <v>129.19999999999999</v>
      </c>
      <c r="S91">
        <v>126.4</v>
      </c>
      <c r="T91">
        <v>122</v>
      </c>
      <c r="U91">
        <v>125.7</v>
      </c>
      <c r="V91" s="1">
        <f>AVERAGE(Table1[[#This Row],[Clothing]:[Clothing and footwear]])</f>
        <v>124.7</v>
      </c>
      <c r="W91">
        <v>119</v>
      </c>
      <c r="X91">
        <v>119.8</v>
      </c>
      <c r="Y91">
        <v>121.1</v>
      </c>
      <c r="Z91">
        <v>118.5</v>
      </c>
      <c r="AA91">
        <v>112.9</v>
      </c>
      <c r="AB91" s="1">
        <f t="shared" si="4"/>
        <v>118.19999999999999</v>
      </c>
      <c r="AC91">
        <v>116.9</v>
      </c>
      <c r="AD91">
        <v>123.1</v>
      </c>
      <c r="AE91">
        <v>112.8</v>
      </c>
      <c r="AF91">
        <f t="shared" si="5"/>
        <v>115.65</v>
      </c>
      <c r="AG91">
        <v>117</v>
      </c>
      <c r="AH91">
        <v>123</v>
      </c>
      <c r="AI91">
        <f t="shared" si="6"/>
        <v>120</v>
      </c>
    </row>
    <row r="92" spans="1:35" x14ac:dyDescent="0.25">
      <c r="A92" t="s">
        <v>28</v>
      </c>
      <c r="B92">
        <v>2015</v>
      </c>
      <c r="C92" t="s">
        <v>37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 s="1">
        <f>AVERAGE(Table1[[#This Row],[Cereals and products]:[Food and beverages]])</f>
        <v>125.02307692307691</v>
      </c>
      <c r="R92">
        <v>129.4</v>
      </c>
      <c r="S92">
        <v>128.80000000000001</v>
      </c>
      <c r="T92">
        <v>125.5</v>
      </c>
      <c r="U92">
        <v>128.30000000000001</v>
      </c>
      <c r="V92" s="1">
        <f>AVERAGE(Table1[[#This Row],[Clothing]:[Clothing and footwear]])</f>
        <v>127.53333333333335</v>
      </c>
      <c r="X92">
        <v>123</v>
      </c>
      <c r="Y92">
        <v>123</v>
      </c>
      <c r="Z92">
        <v>120.8</v>
      </c>
      <c r="AA92">
        <v>114.1</v>
      </c>
      <c r="AB92" s="1">
        <f t="shared" si="4"/>
        <v>120.03333333333335</v>
      </c>
      <c r="AC92">
        <v>118</v>
      </c>
      <c r="AD92">
        <v>122.9</v>
      </c>
      <c r="AE92">
        <v>112.7</v>
      </c>
      <c r="AF92">
        <f t="shared" si="5"/>
        <v>116.75</v>
      </c>
      <c r="AG92">
        <v>118.1</v>
      </c>
      <c r="AH92">
        <v>124.7</v>
      </c>
      <c r="AI92">
        <f t="shared" si="6"/>
        <v>121.4</v>
      </c>
    </row>
    <row r="93" spans="1:35" x14ac:dyDescent="0.25">
      <c r="A93" t="s">
        <v>30</v>
      </c>
      <c r="B93">
        <v>2015</v>
      </c>
      <c r="C93" t="s">
        <v>37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 s="1">
        <f>AVERAGE(Table1[[#This Row],[Cereals and products]:[Food and beverages]])</f>
        <v>126.37692307692306</v>
      </c>
      <c r="R93">
        <v>133.1</v>
      </c>
      <c r="S93">
        <v>123.5</v>
      </c>
      <c r="T93">
        <v>117.9</v>
      </c>
      <c r="U93">
        <v>122.7</v>
      </c>
      <c r="V93" s="1">
        <f>AVERAGE(Table1[[#This Row],[Clothing]:[Clothing and footwear]])</f>
        <v>121.36666666666667</v>
      </c>
      <c r="W93">
        <v>119.9</v>
      </c>
      <c r="X93">
        <v>115.3</v>
      </c>
      <c r="Y93">
        <v>119.5</v>
      </c>
      <c r="Z93">
        <v>116</v>
      </c>
      <c r="AA93">
        <v>111.5</v>
      </c>
      <c r="AB93" s="1">
        <f t="shared" si="4"/>
        <v>116.55</v>
      </c>
      <c r="AC93">
        <v>116.6</v>
      </c>
      <c r="AD93">
        <v>125.4</v>
      </c>
      <c r="AE93">
        <v>111.7</v>
      </c>
      <c r="AF93">
        <f t="shared" si="5"/>
        <v>113.85</v>
      </c>
      <c r="AG93">
        <v>116.3</v>
      </c>
      <c r="AH93">
        <v>122.4</v>
      </c>
      <c r="AI93">
        <f t="shared" si="6"/>
        <v>119.35</v>
      </c>
    </row>
    <row r="94" spans="1:35" x14ac:dyDescent="0.25">
      <c r="A94" t="s">
        <v>31</v>
      </c>
      <c r="B94">
        <v>2015</v>
      </c>
      <c r="C94" t="s">
        <v>37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 s="1">
        <f>AVERAGE(Table1[[#This Row],[Cereals and products]:[Food and beverages]])</f>
        <v>125.43076923076924</v>
      </c>
      <c r="R94">
        <v>130.4</v>
      </c>
      <c r="S94">
        <v>126.7</v>
      </c>
      <c r="T94">
        <v>122.3</v>
      </c>
      <c r="U94">
        <v>126.1</v>
      </c>
      <c r="V94" s="1">
        <f>AVERAGE(Table1[[#This Row],[Clothing]:[Clothing and footwear]])</f>
        <v>125.03333333333335</v>
      </c>
      <c r="W94">
        <v>119.9</v>
      </c>
      <c r="X94">
        <v>120.1</v>
      </c>
      <c r="Y94">
        <v>121.3</v>
      </c>
      <c r="Z94">
        <v>119</v>
      </c>
      <c r="AA94">
        <v>112.7</v>
      </c>
      <c r="AB94" s="1">
        <f t="shared" si="4"/>
        <v>118.5</v>
      </c>
      <c r="AC94">
        <v>117.2</v>
      </c>
      <c r="AD94">
        <v>124.4</v>
      </c>
      <c r="AE94">
        <v>112.3</v>
      </c>
      <c r="AF94">
        <f t="shared" si="5"/>
        <v>115.65</v>
      </c>
      <c r="AG94">
        <v>117.2</v>
      </c>
      <c r="AH94">
        <v>123.6</v>
      </c>
      <c r="AI94">
        <f t="shared" si="6"/>
        <v>120.4</v>
      </c>
    </row>
    <row r="95" spans="1:35" x14ac:dyDescent="0.25">
      <c r="A95" t="s">
        <v>28</v>
      </c>
      <c r="B95">
        <v>2015</v>
      </c>
      <c r="C95" t="s">
        <v>38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 s="1">
        <f>AVERAGE(Table1[[#This Row],[Cereals and products]:[Food and beverages]])</f>
        <v>126.66153846153846</v>
      </c>
      <c r="R95">
        <v>130.1</v>
      </c>
      <c r="S95">
        <v>129.5</v>
      </c>
      <c r="T95">
        <v>126.3</v>
      </c>
      <c r="U95">
        <v>129</v>
      </c>
      <c r="V95" s="1">
        <f>AVERAGE(Table1[[#This Row],[Clothing]:[Clothing and footwear]])</f>
        <v>128.26666666666668</v>
      </c>
      <c r="X95">
        <v>123.8</v>
      </c>
      <c r="Y95">
        <v>123.7</v>
      </c>
      <c r="Z95">
        <v>121.1</v>
      </c>
      <c r="AA95">
        <v>113.6</v>
      </c>
      <c r="AB95" s="1">
        <f t="shared" si="4"/>
        <v>120.36666666666667</v>
      </c>
      <c r="AC95">
        <v>118.5</v>
      </c>
      <c r="AD95">
        <v>123.6</v>
      </c>
      <c r="AE95">
        <v>112.5</v>
      </c>
      <c r="AF95">
        <f t="shared" si="5"/>
        <v>116.8</v>
      </c>
      <c r="AG95">
        <v>118.2</v>
      </c>
      <c r="AH95">
        <v>126.1</v>
      </c>
      <c r="AI95">
        <f t="shared" si="6"/>
        <v>122.15</v>
      </c>
    </row>
    <row r="96" spans="1:35" x14ac:dyDescent="0.25">
      <c r="A96" t="s">
        <v>30</v>
      </c>
      <c r="B96">
        <v>2015</v>
      </c>
      <c r="C96" t="s">
        <v>38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 s="1">
        <f>AVERAGE(Table1[[#This Row],[Cereals and products]:[Food and beverages]])</f>
        <v>127.6076923076923</v>
      </c>
      <c r="R96">
        <v>134.19999999999999</v>
      </c>
      <c r="S96">
        <v>123.7</v>
      </c>
      <c r="T96">
        <v>118.2</v>
      </c>
      <c r="U96">
        <v>122.9</v>
      </c>
      <c r="V96" s="1">
        <f>AVERAGE(Table1[[#This Row],[Clothing]:[Clothing and footwear]])</f>
        <v>121.60000000000001</v>
      </c>
      <c r="W96">
        <v>120.9</v>
      </c>
      <c r="X96">
        <v>115.3</v>
      </c>
      <c r="Y96">
        <v>120</v>
      </c>
      <c r="Z96">
        <v>116.6</v>
      </c>
      <c r="AA96">
        <v>109.9</v>
      </c>
      <c r="AB96" s="1">
        <f t="shared" si="4"/>
        <v>116.52500000000001</v>
      </c>
      <c r="AC96">
        <v>117.2</v>
      </c>
      <c r="AD96">
        <v>126.2</v>
      </c>
      <c r="AE96">
        <v>112</v>
      </c>
      <c r="AF96">
        <f t="shared" si="5"/>
        <v>114.3</v>
      </c>
      <c r="AG96">
        <v>116.2</v>
      </c>
      <c r="AH96">
        <v>123.2</v>
      </c>
      <c r="AI96">
        <f t="shared" si="6"/>
        <v>119.7</v>
      </c>
    </row>
    <row r="97" spans="1:35" x14ac:dyDescent="0.25">
      <c r="A97" t="s">
        <v>31</v>
      </c>
      <c r="B97">
        <v>2015</v>
      </c>
      <c r="C97" t="s">
        <v>38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 s="1">
        <f>AVERAGE(Table1[[#This Row],[Cereals and products]:[Food and beverages]])</f>
        <v>126.89230769230768</v>
      </c>
      <c r="R97">
        <v>131.19999999999999</v>
      </c>
      <c r="S97">
        <v>127.2</v>
      </c>
      <c r="T97">
        <v>122.9</v>
      </c>
      <c r="U97">
        <v>126.6</v>
      </c>
      <c r="V97" s="1">
        <f>AVERAGE(Table1[[#This Row],[Clothing]:[Clothing and footwear]])</f>
        <v>125.56666666666668</v>
      </c>
      <c r="W97">
        <v>120.9</v>
      </c>
      <c r="X97">
        <v>120.6</v>
      </c>
      <c r="Y97">
        <v>122</v>
      </c>
      <c r="Z97">
        <v>119.4</v>
      </c>
      <c r="AA97">
        <v>111.7</v>
      </c>
      <c r="AB97" s="1">
        <f t="shared" si="4"/>
        <v>118.8</v>
      </c>
      <c r="AC97">
        <v>117.8</v>
      </c>
      <c r="AD97">
        <v>125.1</v>
      </c>
      <c r="AE97">
        <v>112.3</v>
      </c>
      <c r="AF97">
        <f t="shared" si="5"/>
        <v>115.85</v>
      </c>
      <c r="AG97">
        <v>117.2</v>
      </c>
      <c r="AH97">
        <v>124.8</v>
      </c>
      <c r="AI97">
        <f t="shared" si="6"/>
        <v>121</v>
      </c>
    </row>
    <row r="98" spans="1:35" x14ac:dyDescent="0.25">
      <c r="A98" t="s">
        <v>28</v>
      </c>
      <c r="B98">
        <v>2015</v>
      </c>
      <c r="C98" t="s">
        <v>39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 s="1">
        <f>AVERAGE(Table1[[#This Row],[Cereals and products]:[Food and beverages]])</f>
        <v>127.50769230769232</v>
      </c>
      <c r="R98">
        <v>131</v>
      </c>
      <c r="S98">
        <v>130.4</v>
      </c>
      <c r="T98">
        <v>126.8</v>
      </c>
      <c r="U98">
        <v>129.9</v>
      </c>
      <c r="V98" s="1">
        <f>AVERAGE(Table1[[#This Row],[Clothing]:[Clothing and footwear]])</f>
        <v>129.03333333333333</v>
      </c>
      <c r="X98">
        <v>123.7</v>
      </c>
      <c r="Y98">
        <v>124.5</v>
      </c>
      <c r="Z98">
        <v>121.4</v>
      </c>
      <c r="AA98">
        <v>113.8</v>
      </c>
      <c r="AB98" s="1">
        <f t="shared" si="4"/>
        <v>120.66666666666667</v>
      </c>
      <c r="AC98">
        <v>119.6</v>
      </c>
      <c r="AD98">
        <v>124.5</v>
      </c>
      <c r="AE98">
        <v>113.7</v>
      </c>
      <c r="AF98">
        <f t="shared" si="5"/>
        <v>117.55000000000001</v>
      </c>
      <c r="AG98">
        <v>118.8</v>
      </c>
      <c r="AH98">
        <v>127</v>
      </c>
      <c r="AI98">
        <f t="shared" si="6"/>
        <v>122.9</v>
      </c>
    </row>
    <row r="99" spans="1:35" x14ac:dyDescent="0.25">
      <c r="A99" t="s">
        <v>30</v>
      </c>
      <c r="B99">
        <v>2015</v>
      </c>
      <c r="C99" t="s">
        <v>39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 s="1">
        <f>AVERAGE(Table1[[#This Row],[Cereals and products]:[Food and beverages]])</f>
        <v>128.06153846153845</v>
      </c>
      <c r="R99">
        <v>134.69999999999999</v>
      </c>
      <c r="S99">
        <v>124</v>
      </c>
      <c r="T99">
        <v>118.6</v>
      </c>
      <c r="U99">
        <v>123.2</v>
      </c>
      <c r="V99" s="1">
        <f>AVERAGE(Table1[[#This Row],[Clothing]:[Clothing and footwear]])</f>
        <v>121.93333333333334</v>
      </c>
      <c r="W99">
        <v>121.6</v>
      </c>
      <c r="X99">
        <v>115.1</v>
      </c>
      <c r="Y99">
        <v>120.4</v>
      </c>
      <c r="Z99">
        <v>117.1</v>
      </c>
      <c r="AA99">
        <v>109.1</v>
      </c>
      <c r="AB99" s="1">
        <f t="shared" si="4"/>
        <v>116.55000000000001</v>
      </c>
      <c r="AC99">
        <v>117.3</v>
      </c>
      <c r="AD99">
        <v>126.5</v>
      </c>
      <c r="AE99">
        <v>112.9</v>
      </c>
      <c r="AF99">
        <f t="shared" si="5"/>
        <v>115</v>
      </c>
      <c r="AG99">
        <v>116.2</v>
      </c>
      <c r="AH99">
        <v>123.5</v>
      </c>
      <c r="AI99">
        <f t="shared" si="6"/>
        <v>119.85</v>
      </c>
    </row>
    <row r="100" spans="1:35" x14ac:dyDescent="0.25">
      <c r="A100" t="s">
        <v>31</v>
      </c>
      <c r="B100">
        <v>2015</v>
      </c>
      <c r="C100" t="s">
        <v>39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 s="1">
        <f>AVERAGE(Table1[[#This Row],[Cereals and products]:[Food and beverages]])</f>
        <v>127.56153846153848</v>
      </c>
      <c r="R100">
        <v>132</v>
      </c>
      <c r="S100">
        <v>127.9</v>
      </c>
      <c r="T100">
        <v>123.4</v>
      </c>
      <c r="U100">
        <v>127.2</v>
      </c>
      <c r="V100" s="1">
        <f>AVERAGE(Table1[[#This Row],[Clothing]:[Clothing and footwear]])</f>
        <v>126.16666666666667</v>
      </c>
      <c r="W100">
        <v>121.6</v>
      </c>
      <c r="X100">
        <v>120.4</v>
      </c>
      <c r="Y100">
        <v>122.6</v>
      </c>
      <c r="Z100">
        <v>119.8</v>
      </c>
      <c r="AA100">
        <v>111.3</v>
      </c>
      <c r="AB100" s="1">
        <f t="shared" si="4"/>
        <v>118.97500000000001</v>
      </c>
      <c r="AC100">
        <v>118.3</v>
      </c>
      <c r="AD100">
        <v>125.7</v>
      </c>
      <c r="AE100">
        <v>113.4</v>
      </c>
      <c r="AF100">
        <f t="shared" si="5"/>
        <v>116.6</v>
      </c>
      <c r="AG100">
        <v>117.5</v>
      </c>
      <c r="AH100">
        <v>125.4</v>
      </c>
      <c r="AI100">
        <f t="shared" si="6"/>
        <v>121.45</v>
      </c>
    </row>
    <row r="101" spans="1:35" x14ac:dyDescent="0.25">
      <c r="A101" t="s">
        <v>28</v>
      </c>
      <c r="B101">
        <v>2015</v>
      </c>
      <c r="C101" t="s">
        <v>40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 s="1">
        <f>AVERAGE(Table1[[#This Row],[Cereals and products]:[Food and beverages]])</f>
        <v>128.8153846153846</v>
      </c>
      <c r="R101">
        <v>131.5</v>
      </c>
      <c r="S101">
        <v>131.1</v>
      </c>
      <c r="T101">
        <v>127.3</v>
      </c>
      <c r="U101">
        <v>130.6</v>
      </c>
      <c r="V101" s="1">
        <f>AVERAGE(Table1[[#This Row],[Clothing]:[Clothing and footwear]])</f>
        <v>129.66666666666666</v>
      </c>
      <c r="X101">
        <v>124.4</v>
      </c>
      <c r="Y101">
        <v>125.1</v>
      </c>
      <c r="Z101">
        <v>122</v>
      </c>
      <c r="AA101">
        <v>113.8</v>
      </c>
      <c r="AB101" s="1">
        <f t="shared" si="4"/>
        <v>121.10000000000001</v>
      </c>
      <c r="AC101">
        <v>120.1</v>
      </c>
      <c r="AD101">
        <v>125.1</v>
      </c>
      <c r="AE101">
        <v>114.2</v>
      </c>
      <c r="AF101">
        <f t="shared" si="5"/>
        <v>118.1</v>
      </c>
      <c r="AG101">
        <v>119.2</v>
      </c>
      <c r="AH101">
        <v>127.7</v>
      </c>
      <c r="AI101">
        <f t="shared" si="6"/>
        <v>123.45</v>
      </c>
    </row>
    <row r="102" spans="1:35" x14ac:dyDescent="0.25">
      <c r="A102" t="s">
        <v>30</v>
      </c>
      <c r="B102">
        <v>2015</v>
      </c>
      <c r="C102" t="s">
        <v>40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 s="1">
        <f>AVERAGE(Table1[[#This Row],[Cereals and products]:[Food and beverages]])</f>
        <v>130.21538461538464</v>
      </c>
      <c r="R102">
        <v>135.30000000000001</v>
      </c>
      <c r="S102">
        <v>124.4</v>
      </c>
      <c r="T102">
        <v>118.8</v>
      </c>
      <c r="U102">
        <v>123.6</v>
      </c>
      <c r="V102" s="1">
        <f>AVERAGE(Table1[[#This Row],[Clothing]:[Clothing and footwear]])</f>
        <v>122.26666666666665</v>
      </c>
      <c r="W102">
        <v>122.4</v>
      </c>
      <c r="X102">
        <v>114.9</v>
      </c>
      <c r="Y102">
        <v>120.7</v>
      </c>
      <c r="Z102">
        <v>117.7</v>
      </c>
      <c r="AA102">
        <v>109.3</v>
      </c>
      <c r="AB102" s="1">
        <f t="shared" si="4"/>
        <v>116.825</v>
      </c>
      <c r="AC102">
        <v>117.7</v>
      </c>
      <c r="AD102">
        <v>126.5</v>
      </c>
      <c r="AE102">
        <v>113.5</v>
      </c>
      <c r="AF102">
        <f t="shared" si="5"/>
        <v>115.6</v>
      </c>
      <c r="AG102">
        <v>116.5</v>
      </c>
      <c r="AH102">
        <v>124.2</v>
      </c>
      <c r="AI102">
        <f t="shared" si="6"/>
        <v>120.35</v>
      </c>
    </row>
    <row r="103" spans="1:35" x14ac:dyDescent="0.25">
      <c r="A103" t="s">
        <v>31</v>
      </c>
      <c r="B103">
        <v>2015</v>
      </c>
      <c r="C103" t="s">
        <v>40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 s="1">
        <f>AVERAGE(Table1[[#This Row],[Cereals and products]:[Food and beverages]])</f>
        <v>129.15384615384613</v>
      </c>
      <c r="R103">
        <v>132.5</v>
      </c>
      <c r="S103">
        <v>128.5</v>
      </c>
      <c r="T103">
        <v>123.8</v>
      </c>
      <c r="U103">
        <v>127.8</v>
      </c>
      <c r="V103" s="1">
        <f>AVERAGE(Table1[[#This Row],[Clothing]:[Clothing and footwear]])</f>
        <v>126.7</v>
      </c>
      <c r="W103">
        <v>122.4</v>
      </c>
      <c r="X103">
        <v>120.8</v>
      </c>
      <c r="Y103">
        <v>123</v>
      </c>
      <c r="Z103">
        <v>120.4</v>
      </c>
      <c r="AA103">
        <v>111.4</v>
      </c>
      <c r="AB103" s="1">
        <f t="shared" si="4"/>
        <v>119.4</v>
      </c>
      <c r="AC103">
        <v>118.7</v>
      </c>
      <c r="AD103">
        <v>125.9</v>
      </c>
      <c r="AE103">
        <v>113.9</v>
      </c>
      <c r="AF103">
        <f t="shared" si="5"/>
        <v>117.15</v>
      </c>
      <c r="AG103">
        <v>117.9</v>
      </c>
      <c r="AH103">
        <v>126.1</v>
      </c>
      <c r="AI103">
        <f t="shared" si="6"/>
        <v>122</v>
      </c>
    </row>
    <row r="104" spans="1:35" x14ac:dyDescent="0.25">
      <c r="A104" t="s">
        <v>28</v>
      </c>
      <c r="B104">
        <v>2015</v>
      </c>
      <c r="C104" t="s">
        <v>42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 s="1">
        <f>AVERAGE(Table1[[#This Row],[Cereals and products]:[Food and beverages]])</f>
        <v>129.71538461538461</v>
      </c>
      <c r="R104">
        <v>132.19999999999999</v>
      </c>
      <c r="S104">
        <v>132.1</v>
      </c>
      <c r="T104">
        <v>128.19999999999999</v>
      </c>
      <c r="U104">
        <v>131.5</v>
      </c>
      <c r="V104" s="1">
        <f>AVERAGE(Table1[[#This Row],[Clothing]:[Clothing and footwear]])</f>
        <v>130.6</v>
      </c>
      <c r="X104">
        <v>125.6</v>
      </c>
      <c r="Y104">
        <v>125.6</v>
      </c>
      <c r="Z104">
        <v>122.6</v>
      </c>
      <c r="AA104">
        <v>114</v>
      </c>
      <c r="AB104" s="1">
        <f t="shared" si="4"/>
        <v>121.73333333333333</v>
      </c>
      <c r="AC104">
        <v>120.9</v>
      </c>
      <c r="AD104">
        <v>125.8</v>
      </c>
      <c r="AE104">
        <v>114.2</v>
      </c>
      <c r="AF104">
        <f t="shared" si="5"/>
        <v>118.4</v>
      </c>
      <c r="AG104">
        <v>119.6</v>
      </c>
      <c r="AH104">
        <v>128.30000000000001</v>
      </c>
      <c r="AI104">
        <f t="shared" si="6"/>
        <v>123.95</v>
      </c>
    </row>
    <row r="105" spans="1:35" x14ac:dyDescent="0.25">
      <c r="A105" t="s">
        <v>30</v>
      </c>
      <c r="B105">
        <v>2015</v>
      </c>
      <c r="C105" t="s">
        <v>42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 s="1">
        <f>AVERAGE(Table1[[#This Row],[Cereals and products]:[Food and beverages]])</f>
        <v>131.42307692307691</v>
      </c>
      <c r="R105">
        <v>137.6</v>
      </c>
      <c r="S105">
        <v>125</v>
      </c>
      <c r="T105">
        <v>119.3</v>
      </c>
      <c r="U105">
        <v>124.2</v>
      </c>
      <c r="V105" s="1">
        <f>AVERAGE(Table1[[#This Row],[Clothing]:[Clothing and footwear]])</f>
        <v>122.83333333333333</v>
      </c>
      <c r="W105">
        <v>122.9</v>
      </c>
      <c r="X105">
        <v>115.1</v>
      </c>
      <c r="Y105">
        <v>121</v>
      </c>
      <c r="Z105">
        <v>118.1</v>
      </c>
      <c r="AA105">
        <v>109.3</v>
      </c>
      <c r="AB105" s="1">
        <f t="shared" si="4"/>
        <v>117.075</v>
      </c>
      <c r="AC105">
        <v>117.9</v>
      </c>
      <c r="AD105">
        <v>126.6</v>
      </c>
      <c r="AE105">
        <v>113.3</v>
      </c>
      <c r="AF105">
        <f t="shared" si="5"/>
        <v>115.69999999999999</v>
      </c>
      <c r="AG105">
        <v>116.6</v>
      </c>
      <c r="AH105">
        <v>124.6</v>
      </c>
      <c r="AI105">
        <f t="shared" si="6"/>
        <v>120.6</v>
      </c>
    </row>
    <row r="106" spans="1:35" x14ac:dyDescent="0.25">
      <c r="A106" t="s">
        <v>31</v>
      </c>
      <c r="B106">
        <v>2015</v>
      </c>
      <c r="C106" t="s">
        <v>42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 s="1">
        <f>AVERAGE(Table1[[#This Row],[Cereals and products]:[Food and beverages]])</f>
        <v>130.16153846153844</v>
      </c>
      <c r="R106">
        <v>133.6</v>
      </c>
      <c r="S106">
        <v>129.30000000000001</v>
      </c>
      <c r="T106">
        <v>124.5</v>
      </c>
      <c r="U106">
        <v>128.6</v>
      </c>
      <c r="V106" s="1">
        <f>AVERAGE(Table1[[#This Row],[Clothing]:[Clothing and footwear]])</f>
        <v>127.46666666666665</v>
      </c>
      <c r="W106">
        <v>122.9</v>
      </c>
      <c r="X106">
        <v>121.6</v>
      </c>
      <c r="Y106">
        <v>123.4</v>
      </c>
      <c r="Z106">
        <v>120.9</v>
      </c>
      <c r="AA106">
        <v>111.5</v>
      </c>
      <c r="AB106" s="1">
        <f t="shared" si="4"/>
        <v>119.85</v>
      </c>
      <c r="AC106">
        <v>119.2</v>
      </c>
      <c r="AD106">
        <v>126.3</v>
      </c>
      <c r="AE106">
        <v>113.8</v>
      </c>
      <c r="AF106">
        <f t="shared" si="5"/>
        <v>117.35</v>
      </c>
      <c r="AG106">
        <v>118.1</v>
      </c>
      <c r="AH106">
        <v>126.6</v>
      </c>
      <c r="AI106">
        <f t="shared" si="6"/>
        <v>122.35</v>
      </c>
    </row>
    <row r="107" spans="1:35" x14ac:dyDescent="0.25">
      <c r="A107" t="s">
        <v>28</v>
      </c>
      <c r="B107">
        <v>2015</v>
      </c>
      <c r="C107" t="s">
        <v>43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 s="1">
        <f>AVERAGE(Table1[[#This Row],[Cereals and products]:[Food and beverages]])</f>
        <v>129.40769230769232</v>
      </c>
      <c r="R107">
        <v>133.1</v>
      </c>
      <c r="S107">
        <v>132.5</v>
      </c>
      <c r="T107">
        <v>128.5</v>
      </c>
      <c r="U107">
        <v>131.9</v>
      </c>
      <c r="V107" s="1">
        <f>AVERAGE(Table1[[#This Row],[Clothing]:[Clothing and footwear]])</f>
        <v>130.96666666666667</v>
      </c>
      <c r="X107">
        <v>125.7</v>
      </c>
      <c r="Y107">
        <v>126</v>
      </c>
      <c r="Z107">
        <v>123.1</v>
      </c>
      <c r="AA107">
        <v>114</v>
      </c>
      <c r="AB107" s="1">
        <f t="shared" si="4"/>
        <v>121.89999999999999</v>
      </c>
      <c r="AC107">
        <v>121.6</v>
      </c>
      <c r="AD107">
        <v>125.6</v>
      </c>
      <c r="AE107">
        <v>114.1</v>
      </c>
      <c r="AF107">
        <f t="shared" si="5"/>
        <v>118.6</v>
      </c>
      <c r="AG107">
        <v>119.8</v>
      </c>
      <c r="AH107">
        <v>127.9</v>
      </c>
      <c r="AI107">
        <f t="shared" si="6"/>
        <v>123.85</v>
      </c>
    </row>
    <row r="108" spans="1:35" x14ac:dyDescent="0.25">
      <c r="A108" t="s">
        <v>30</v>
      </c>
      <c r="B108">
        <v>2015</v>
      </c>
      <c r="C108" t="s">
        <v>43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 s="1">
        <f>AVERAGE(Table1[[#This Row],[Cereals and products]:[Food and beverages]])</f>
        <v>130.67692307692306</v>
      </c>
      <c r="R108">
        <v>138.19999999999999</v>
      </c>
      <c r="S108">
        <v>125.4</v>
      </c>
      <c r="T108">
        <v>119.5</v>
      </c>
      <c r="U108">
        <v>124.5</v>
      </c>
      <c r="V108" s="1">
        <f>AVERAGE(Table1[[#This Row],[Clothing]:[Clothing and footwear]])</f>
        <v>123.13333333333333</v>
      </c>
      <c r="W108">
        <v>122.4</v>
      </c>
      <c r="X108">
        <v>116</v>
      </c>
      <c r="Y108">
        <v>121</v>
      </c>
      <c r="Z108">
        <v>118.6</v>
      </c>
      <c r="AA108">
        <v>109.3</v>
      </c>
      <c r="AB108" s="1">
        <f t="shared" si="4"/>
        <v>117.175</v>
      </c>
      <c r="AC108">
        <v>118.1</v>
      </c>
      <c r="AD108">
        <v>126.6</v>
      </c>
      <c r="AE108">
        <v>113.2</v>
      </c>
      <c r="AF108">
        <f t="shared" si="5"/>
        <v>115.9</v>
      </c>
      <c r="AG108">
        <v>116.7</v>
      </c>
      <c r="AH108">
        <v>124</v>
      </c>
      <c r="AI108">
        <f t="shared" si="6"/>
        <v>120.35</v>
      </c>
    </row>
    <row r="109" spans="1:35" x14ac:dyDescent="0.25">
      <c r="A109" t="s">
        <v>31</v>
      </c>
      <c r="B109">
        <v>2015</v>
      </c>
      <c r="C109" t="s">
        <v>43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 s="1">
        <f>AVERAGE(Table1[[#This Row],[Cereals and products]:[Food and beverages]])</f>
        <v>129.70000000000002</v>
      </c>
      <c r="R109">
        <v>134.5</v>
      </c>
      <c r="S109">
        <v>129.69999999999999</v>
      </c>
      <c r="T109">
        <v>124.8</v>
      </c>
      <c r="U109">
        <v>129</v>
      </c>
      <c r="V109" s="1">
        <f>AVERAGE(Table1[[#This Row],[Clothing]:[Clothing and footwear]])</f>
        <v>127.83333333333333</v>
      </c>
      <c r="W109">
        <v>122.4</v>
      </c>
      <c r="X109">
        <v>122</v>
      </c>
      <c r="Y109">
        <v>123.6</v>
      </c>
      <c r="Z109">
        <v>121.4</v>
      </c>
      <c r="AA109">
        <v>111.5</v>
      </c>
      <c r="AB109" s="1">
        <f t="shared" si="4"/>
        <v>119.875</v>
      </c>
      <c r="AC109">
        <v>119.6</v>
      </c>
      <c r="AD109">
        <v>126.2</v>
      </c>
      <c r="AE109">
        <v>113.7</v>
      </c>
      <c r="AF109">
        <f t="shared" si="5"/>
        <v>117.55000000000001</v>
      </c>
      <c r="AG109">
        <v>118.3</v>
      </c>
      <c r="AH109">
        <v>126.1</v>
      </c>
      <c r="AI109">
        <f t="shared" si="6"/>
        <v>122.19999999999999</v>
      </c>
    </row>
    <row r="110" spans="1:35" x14ac:dyDescent="0.25">
      <c r="A110" t="s">
        <v>28</v>
      </c>
      <c r="B110">
        <v>2016</v>
      </c>
      <c r="C110" t="s">
        <v>29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 s="1">
        <f>AVERAGE(Table1[[#This Row],[Cereals and products]:[Food and beverages]])</f>
        <v>130.00769230769231</v>
      </c>
      <c r="R110">
        <v>133.6</v>
      </c>
      <c r="S110">
        <v>133.19999999999999</v>
      </c>
      <c r="T110">
        <v>128.9</v>
      </c>
      <c r="U110">
        <v>132.6</v>
      </c>
      <c r="V110" s="1">
        <f>AVERAGE(Table1[[#This Row],[Clothing]:[Clothing and footwear]])</f>
        <v>131.56666666666669</v>
      </c>
      <c r="X110">
        <v>126.2</v>
      </c>
      <c r="Y110">
        <v>126.6</v>
      </c>
      <c r="Z110">
        <v>123.7</v>
      </c>
      <c r="AA110">
        <v>113.6</v>
      </c>
      <c r="AB110" s="1">
        <f t="shared" si="4"/>
        <v>122.13333333333333</v>
      </c>
      <c r="AC110">
        <v>121.4</v>
      </c>
      <c r="AD110">
        <v>126.2</v>
      </c>
      <c r="AE110">
        <v>114.9</v>
      </c>
      <c r="AF110">
        <f t="shared" si="5"/>
        <v>119.30000000000001</v>
      </c>
      <c r="AG110">
        <v>120.1</v>
      </c>
      <c r="AH110">
        <v>128.1</v>
      </c>
      <c r="AI110">
        <f t="shared" si="6"/>
        <v>124.1</v>
      </c>
    </row>
    <row r="111" spans="1:35" x14ac:dyDescent="0.25">
      <c r="A111" t="s">
        <v>30</v>
      </c>
      <c r="B111">
        <v>2016</v>
      </c>
      <c r="C111" t="s">
        <v>29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 s="1">
        <f>AVERAGE(Table1[[#This Row],[Cereals and products]:[Food and beverages]])</f>
        <v>130.87692307692308</v>
      </c>
      <c r="R111">
        <v>139.5</v>
      </c>
      <c r="S111">
        <v>125.8</v>
      </c>
      <c r="T111">
        <v>119.8</v>
      </c>
      <c r="U111">
        <v>124.9</v>
      </c>
      <c r="V111" s="1">
        <f>AVERAGE(Table1[[#This Row],[Clothing]:[Clothing and footwear]])</f>
        <v>123.5</v>
      </c>
      <c r="W111">
        <v>123.4</v>
      </c>
      <c r="X111">
        <v>116.9</v>
      </c>
      <c r="Y111">
        <v>121.6</v>
      </c>
      <c r="Z111">
        <v>119.1</v>
      </c>
      <c r="AA111">
        <v>108.9</v>
      </c>
      <c r="AB111" s="1">
        <f t="shared" si="4"/>
        <v>117.69999999999999</v>
      </c>
      <c r="AC111">
        <v>118.5</v>
      </c>
      <c r="AD111">
        <v>126.4</v>
      </c>
      <c r="AE111">
        <v>114</v>
      </c>
      <c r="AF111">
        <f t="shared" si="5"/>
        <v>116.55</v>
      </c>
      <c r="AG111">
        <v>116.8</v>
      </c>
      <c r="AH111">
        <v>124.2</v>
      </c>
      <c r="AI111">
        <f t="shared" si="6"/>
        <v>120.5</v>
      </c>
    </row>
    <row r="112" spans="1:35" x14ac:dyDescent="0.25">
      <c r="A112" t="s">
        <v>31</v>
      </c>
      <c r="B112">
        <v>2016</v>
      </c>
      <c r="C112" t="s">
        <v>29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 s="1">
        <f>AVERAGE(Table1[[#This Row],[Cereals and products]:[Food and beverages]])</f>
        <v>130.13076923076923</v>
      </c>
      <c r="R112">
        <v>135.19999999999999</v>
      </c>
      <c r="S112">
        <v>130.30000000000001</v>
      </c>
      <c r="T112">
        <v>125.1</v>
      </c>
      <c r="U112">
        <v>129.5</v>
      </c>
      <c r="V112" s="1">
        <f>AVERAGE(Table1[[#This Row],[Clothing]:[Clothing and footwear]])</f>
        <v>128.29999999999998</v>
      </c>
      <c r="W112">
        <v>123.4</v>
      </c>
      <c r="X112">
        <v>122.7</v>
      </c>
      <c r="Y112">
        <v>124.2</v>
      </c>
      <c r="Z112">
        <v>122</v>
      </c>
      <c r="AA112">
        <v>111.1</v>
      </c>
      <c r="AB112" s="1">
        <f t="shared" si="4"/>
        <v>120.35</v>
      </c>
      <c r="AC112">
        <v>119.8</v>
      </c>
      <c r="AD112">
        <v>126.3</v>
      </c>
      <c r="AE112">
        <v>114.5</v>
      </c>
      <c r="AF112">
        <f t="shared" si="5"/>
        <v>118.25</v>
      </c>
      <c r="AG112">
        <v>118.5</v>
      </c>
      <c r="AH112">
        <v>126.3</v>
      </c>
      <c r="AI112">
        <f t="shared" si="6"/>
        <v>122.4</v>
      </c>
    </row>
    <row r="113" spans="1:35" x14ac:dyDescent="0.25">
      <c r="A113" t="s">
        <v>28</v>
      </c>
      <c r="B113">
        <v>2016</v>
      </c>
      <c r="C113" t="s">
        <v>32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 s="1">
        <f>AVERAGE(Table1[[#This Row],[Cereals and products]:[Food and beverages]])</f>
        <v>129.43076923076922</v>
      </c>
      <c r="R113">
        <v>134.4</v>
      </c>
      <c r="S113">
        <v>133.9</v>
      </c>
      <c r="T113">
        <v>129.80000000000001</v>
      </c>
      <c r="U113">
        <v>133.4</v>
      </c>
      <c r="V113" s="1">
        <f>AVERAGE(Table1[[#This Row],[Clothing]:[Clothing and footwear]])</f>
        <v>132.36666666666667</v>
      </c>
      <c r="X113">
        <v>127.5</v>
      </c>
      <c r="Y113">
        <v>127.1</v>
      </c>
      <c r="Z113">
        <v>124.3</v>
      </c>
      <c r="AA113">
        <v>113.9</v>
      </c>
      <c r="AB113" s="1">
        <f t="shared" si="4"/>
        <v>122.83333333333333</v>
      </c>
      <c r="AC113">
        <v>122.3</v>
      </c>
      <c r="AD113">
        <v>127.1</v>
      </c>
      <c r="AE113">
        <v>116.8</v>
      </c>
      <c r="AF113">
        <f t="shared" si="5"/>
        <v>120.55</v>
      </c>
      <c r="AG113">
        <v>120.9</v>
      </c>
      <c r="AH113">
        <v>127.9</v>
      </c>
      <c r="AI113">
        <f t="shared" si="6"/>
        <v>124.4</v>
      </c>
    </row>
    <row r="114" spans="1:35" x14ac:dyDescent="0.25">
      <c r="A114" t="s">
        <v>30</v>
      </c>
      <c r="B114">
        <v>2016</v>
      </c>
      <c r="C114" t="s">
        <v>32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 s="1">
        <f>AVERAGE(Table1[[#This Row],[Cereals and products]:[Food and beverages]])</f>
        <v>128.93076923076922</v>
      </c>
      <c r="R114">
        <v>140</v>
      </c>
      <c r="S114">
        <v>126.2</v>
      </c>
      <c r="T114">
        <v>120.1</v>
      </c>
      <c r="U114">
        <v>125.3</v>
      </c>
      <c r="V114" s="1">
        <f>AVERAGE(Table1[[#This Row],[Clothing]:[Clothing and footwear]])</f>
        <v>123.86666666666667</v>
      </c>
      <c r="W114">
        <v>124.4</v>
      </c>
      <c r="X114">
        <v>116</v>
      </c>
      <c r="Y114">
        <v>121.8</v>
      </c>
      <c r="Z114">
        <v>119.5</v>
      </c>
      <c r="AA114">
        <v>109.1</v>
      </c>
      <c r="AB114" s="1">
        <f t="shared" si="4"/>
        <v>117.82499999999999</v>
      </c>
      <c r="AC114">
        <v>118.8</v>
      </c>
      <c r="AD114">
        <v>126.3</v>
      </c>
      <c r="AE114">
        <v>116.2</v>
      </c>
      <c r="AF114">
        <f t="shared" si="5"/>
        <v>117.85</v>
      </c>
      <c r="AG114">
        <v>117.2</v>
      </c>
      <c r="AH114">
        <v>123.8</v>
      </c>
      <c r="AI114">
        <f t="shared" si="6"/>
        <v>120.5</v>
      </c>
    </row>
    <row r="115" spans="1:35" x14ac:dyDescent="0.25">
      <c r="A115" t="s">
        <v>31</v>
      </c>
      <c r="B115">
        <v>2016</v>
      </c>
      <c r="C115" t="s">
        <v>32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 s="1">
        <f>AVERAGE(Table1[[#This Row],[Cereals and products]:[Food and beverages]])</f>
        <v>129.08461538461538</v>
      </c>
      <c r="R115">
        <v>135.9</v>
      </c>
      <c r="S115">
        <v>130.9</v>
      </c>
      <c r="T115">
        <v>125.8</v>
      </c>
      <c r="U115">
        <v>130.19999999999999</v>
      </c>
      <c r="V115" s="1">
        <f>AVERAGE(Table1[[#This Row],[Clothing]:[Clothing and footwear]])</f>
        <v>128.96666666666667</v>
      </c>
      <c r="W115">
        <v>124.4</v>
      </c>
      <c r="X115">
        <v>123.1</v>
      </c>
      <c r="Y115">
        <v>124.6</v>
      </c>
      <c r="Z115">
        <v>122.5</v>
      </c>
      <c r="AA115">
        <v>111.4</v>
      </c>
      <c r="AB115" s="1">
        <f t="shared" si="4"/>
        <v>120.875</v>
      </c>
      <c r="AC115">
        <v>120.3</v>
      </c>
      <c r="AD115">
        <v>126.6</v>
      </c>
      <c r="AE115">
        <v>116.6</v>
      </c>
      <c r="AF115">
        <f t="shared" si="5"/>
        <v>119.55</v>
      </c>
      <c r="AG115">
        <v>119.1</v>
      </c>
      <c r="AH115">
        <v>126</v>
      </c>
      <c r="AI115">
        <f t="shared" si="6"/>
        <v>122.55</v>
      </c>
    </row>
    <row r="116" spans="1:35" x14ac:dyDescent="0.25">
      <c r="A116" t="s">
        <v>28</v>
      </c>
      <c r="B116">
        <v>2016</v>
      </c>
      <c r="C116" t="s">
        <v>33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 s="1">
        <f>AVERAGE(Table1[[#This Row],[Cereals and products]:[Food and beverages]])</f>
        <v>129.43846153846155</v>
      </c>
      <c r="R116">
        <v>135</v>
      </c>
      <c r="S116">
        <v>134.4</v>
      </c>
      <c r="T116">
        <v>130.19999999999999</v>
      </c>
      <c r="U116">
        <v>133.80000000000001</v>
      </c>
      <c r="V116" s="1">
        <f>AVERAGE(Table1[[#This Row],[Clothing]:[Clothing and footwear]])</f>
        <v>132.80000000000001</v>
      </c>
      <c r="X116">
        <v>127</v>
      </c>
      <c r="Y116">
        <v>127.7</v>
      </c>
      <c r="Z116">
        <v>124.8</v>
      </c>
      <c r="AA116">
        <v>113.6</v>
      </c>
      <c r="AB116" s="1">
        <f t="shared" si="4"/>
        <v>122.76666666666665</v>
      </c>
      <c r="AC116">
        <v>122.5</v>
      </c>
      <c r="AD116">
        <v>127.5</v>
      </c>
      <c r="AE116">
        <v>117.4</v>
      </c>
      <c r="AF116">
        <f t="shared" si="5"/>
        <v>121.1</v>
      </c>
      <c r="AG116">
        <v>121.1</v>
      </c>
      <c r="AH116">
        <v>128</v>
      </c>
      <c r="AI116">
        <f t="shared" si="6"/>
        <v>124.55</v>
      </c>
    </row>
    <row r="117" spans="1:35" x14ac:dyDescent="0.25">
      <c r="A117" t="s">
        <v>30</v>
      </c>
      <c r="B117">
        <v>2016</v>
      </c>
      <c r="C117" t="s">
        <v>33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 s="1">
        <f>AVERAGE(Table1[[#This Row],[Cereals and products]:[Food and beverages]])</f>
        <v>128.27692307692308</v>
      </c>
      <c r="R117">
        <v>140.6</v>
      </c>
      <c r="S117">
        <v>126.4</v>
      </c>
      <c r="T117">
        <v>120.3</v>
      </c>
      <c r="U117">
        <v>125.5</v>
      </c>
      <c r="V117" s="1">
        <f>AVERAGE(Table1[[#This Row],[Clothing]:[Clothing and footwear]])</f>
        <v>124.06666666666666</v>
      </c>
      <c r="W117">
        <v>124.9</v>
      </c>
      <c r="X117">
        <v>114.8</v>
      </c>
      <c r="Y117">
        <v>122.3</v>
      </c>
      <c r="Z117">
        <v>119.7</v>
      </c>
      <c r="AA117">
        <v>108.5</v>
      </c>
      <c r="AB117" s="1">
        <f t="shared" si="4"/>
        <v>117.625</v>
      </c>
      <c r="AC117">
        <v>119.1</v>
      </c>
      <c r="AD117">
        <v>126.4</v>
      </c>
      <c r="AE117">
        <v>117.1</v>
      </c>
      <c r="AF117">
        <f t="shared" si="5"/>
        <v>118.4</v>
      </c>
      <c r="AG117">
        <v>117.3</v>
      </c>
      <c r="AH117">
        <v>123.8</v>
      </c>
      <c r="AI117">
        <f t="shared" si="6"/>
        <v>120.55</v>
      </c>
    </row>
    <row r="118" spans="1:35" x14ac:dyDescent="0.25">
      <c r="A118" t="s">
        <v>31</v>
      </c>
      <c r="B118">
        <v>2016</v>
      </c>
      <c r="C118" t="s">
        <v>33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 s="1">
        <f>AVERAGE(Table1[[#This Row],[Cereals and products]:[Food and beverages]])</f>
        <v>128.86153846153846</v>
      </c>
      <c r="R118">
        <v>136.5</v>
      </c>
      <c r="S118">
        <v>131.30000000000001</v>
      </c>
      <c r="T118">
        <v>126.1</v>
      </c>
      <c r="U118">
        <v>130.5</v>
      </c>
      <c r="V118" s="1">
        <f>AVERAGE(Table1[[#This Row],[Clothing]:[Clothing and footwear]])</f>
        <v>129.29999999999998</v>
      </c>
      <c r="W118">
        <v>124.9</v>
      </c>
      <c r="X118">
        <v>122.4</v>
      </c>
      <c r="Y118">
        <v>125.1</v>
      </c>
      <c r="Z118">
        <v>122.9</v>
      </c>
      <c r="AA118">
        <v>110.9</v>
      </c>
      <c r="AB118" s="1">
        <f t="shared" si="4"/>
        <v>120.82499999999999</v>
      </c>
      <c r="AC118">
        <v>120.6</v>
      </c>
      <c r="AD118">
        <v>126.9</v>
      </c>
      <c r="AE118">
        <v>117.3</v>
      </c>
      <c r="AF118">
        <f t="shared" si="5"/>
        <v>120.1</v>
      </c>
      <c r="AG118">
        <v>119.3</v>
      </c>
      <c r="AH118">
        <v>126</v>
      </c>
      <c r="AI118">
        <f t="shared" si="6"/>
        <v>122.65</v>
      </c>
    </row>
    <row r="119" spans="1:35" x14ac:dyDescent="0.25">
      <c r="A119" t="s">
        <v>28</v>
      </c>
      <c r="B119">
        <v>2016</v>
      </c>
      <c r="C119" t="s">
        <v>34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 s="1">
        <f>AVERAGE(Table1[[#This Row],[Cereals and products]:[Food and beverages]])</f>
        <v>130.89230769230772</v>
      </c>
      <c r="R119">
        <v>135.5</v>
      </c>
      <c r="S119">
        <v>135</v>
      </c>
      <c r="T119">
        <v>130.6</v>
      </c>
      <c r="U119">
        <v>134.4</v>
      </c>
      <c r="V119" s="1">
        <f>AVERAGE(Table1[[#This Row],[Clothing]:[Clothing and footwear]])</f>
        <v>133.33333333333334</v>
      </c>
      <c r="X119">
        <v>127</v>
      </c>
      <c r="Y119">
        <v>128</v>
      </c>
      <c r="Z119">
        <v>125.2</v>
      </c>
      <c r="AA119">
        <v>114.4</v>
      </c>
      <c r="AB119" s="1">
        <f t="shared" si="4"/>
        <v>123.13333333333333</v>
      </c>
      <c r="AC119">
        <v>123.2</v>
      </c>
      <c r="AD119">
        <v>127.9</v>
      </c>
      <c r="AE119">
        <v>118.4</v>
      </c>
      <c r="AF119">
        <f t="shared" si="5"/>
        <v>121.80000000000001</v>
      </c>
      <c r="AG119">
        <v>121.7</v>
      </c>
      <c r="AH119">
        <v>129</v>
      </c>
      <c r="AI119">
        <f t="shared" si="6"/>
        <v>125.35</v>
      </c>
    </row>
    <row r="120" spans="1:35" x14ac:dyDescent="0.25">
      <c r="A120" t="s">
        <v>30</v>
      </c>
      <c r="B120">
        <v>2016</v>
      </c>
      <c r="C120" t="s">
        <v>34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 s="1">
        <f>AVERAGE(Table1[[#This Row],[Cereals and products]:[Food and beverages]])</f>
        <v>131.25384615384615</v>
      </c>
      <c r="R120">
        <v>141.5</v>
      </c>
      <c r="S120">
        <v>126.8</v>
      </c>
      <c r="T120">
        <v>120.5</v>
      </c>
      <c r="U120">
        <v>125.8</v>
      </c>
      <c r="V120" s="1">
        <f>AVERAGE(Table1[[#This Row],[Clothing]:[Clothing and footwear]])</f>
        <v>124.36666666666667</v>
      </c>
      <c r="W120">
        <v>125.6</v>
      </c>
      <c r="X120">
        <v>114.6</v>
      </c>
      <c r="Y120">
        <v>122.8</v>
      </c>
      <c r="Z120">
        <v>120</v>
      </c>
      <c r="AA120">
        <v>110</v>
      </c>
      <c r="AB120" s="1">
        <f t="shared" si="4"/>
        <v>118.25</v>
      </c>
      <c r="AC120">
        <v>119.5</v>
      </c>
      <c r="AD120">
        <v>127.6</v>
      </c>
      <c r="AE120">
        <v>117.6</v>
      </c>
      <c r="AF120">
        <f t="shared" si="5"/>
        <v>118.8</v>
      </c>
      <c r="AG120">
        <v>118.2</v>
      </c>
      <c r="AH120">
        <v>125.3</v>
      </c>
      <c r="AI120">
        <f t="shared" si="6"/>
        <v>121.75</v>
      </c>
    </row>
    <row r="121" spans="1:35" x14ac:dyDescent="0.25">
      <c r="A121" t="s">
        <v>31</v>
      </c>
      <c r="B121">
        <v>2016</v>
      </c>
      <c r="C121" t="s">
        <v>34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 s="1">
        <f>AVERAGE(Table1[[#This Row],[Cereals and products]:[Food and beverages]])</f>
        <v>130.86923076923077</v>
      </c>
      <c r="R121">
        <v>137.1</v>
      </c>
      <c r="S121">
        <v>131.80000000000001</v>
      </c>
      <c r="T121">
        <v>126.4</v>
      </c>
      <c r="U121">
        <v>131</v>
      </c>
      <c r="V121" s="1">
        <f>AVERAGE(Table1[[#This Row],[Clothing]:[Clothing and footwear]])</f>
        <v>129.73333333333335</v>
      </c>
      <c r="W121">
        <v>125.6</v>
      </c>
      <c r="X121">
        <v>122.3</v>
      </c>
      <c r="Y121">
        <v>125.5</v>
      </c>
      <c r="Z121">
        <v>123.2</v>
      </c>
      <c r="AA121">
        <v>112.1</v>
      </c>
      <c r="AB121" s="1">
        <f t="shared" si="4"/>
        <v>121.375</v>
      </c>
      <c r="AC121">
        <v>121.1</v>
      </c>
      <c r="AD121">
        <v>127.7</v>
      </c>
      <c r="AE121">
        <v>118.1</v>
      </c>
      <c r="AF121">
        <f t="shared" si="5"/>
        <v>120.65</v>
      </c>
      <c r="AG121">
        <v>120</v>
      </c>
      <c r="AH121">
        <v>127.3</v>
      </c>
      <c r="AI121">
        <f t="shared" si="6"/>
        <v>123.65</v>
      </c>
    </row>
    <row r="122" spans="1:35" x14ac:dyDescent="0.25">
      <c r="A122" t="s">
        <v>28</v>
      </c>
      <c r="B122">
        <v>2016</v>
      </c>
      <c r="C122" t="s">
        <v>35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 s="1">
        <f>AVERAGE(Table1[[#This Row],[Cereals and products]:[Food and beverages]])</f>
        <v>132.59230769230768</v>
      </c>
      <c r="R122">
        <v>136</v>
      </c>
      <c r="S122">
        <v>135.4</v>
      </c>
      <c r="T122">
        <v>131.1</v>
      </c>
      <c r="U122">
        <v>134.80000000000001</v>
      </c>
      <c r="V122" s="1">
        <f>AVERAGE(Table1[[#This Row],[Clothing]:[Clothing and footwear]])</f>
        <v>133.76666666666668</v>
      </c>
      <c r="X122">
        <v>127.4</v>
      </c>
      <c r="Y122">
        <v>128.5</v>
      </c>
      <c r="Z122">
        <v>125.8</v>
      </c>
      <c r="AA122">
        <v>115.1</v>
      </c>
      <c r="AB122" s="1">
        <f t="shared" si="4"/>
        <v>123.66666666666667</v>
      </c>
      <c r="AC122">
        <v>123.6</v>
      </c>
      <c r="AD122">
        <v>129.1</v>
      </c>
      <c r="AE122">
        <v>119.7</v>
      </c>
      <c r="AF122">
        <f t="shared" si="5"/>
        <v>122.75</v>
      </c>
      <c r="AG122">
        <v>122.5</v>
      </c>
      <c r="AH122">
        <v>130.30000000000001</v>
      </c>
      <c r="AI122">
        <f t="shared" si="6"/>
        <v>126.4</v>
      </c>
    </row>
    <row r="123" spans="1:35" x14ac:dyDescent="0.25">
      <c r="A123" t="s">
        <v>30</v>
      </c>
      <c r="B123">
        <v>2016</v>
      </c>
      <c r="C123" t="s">
        <v>35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 s="1">
        <f>AVERAGE(Table1[[#This Row],[Cereals and products]:[Food and beverages]])</f>
        <v>134.36923076923074</v>
      </c>
      <c r="R123">
        <v>142.19999999999999</v>
      </c>
      <c r="S123">
        <v>127.2</v>
      </c>
      <c r="T123">
        <v>120.7</v>
      </c>
      <c r="U123">
        <v>126.2</v>
      </c>
      <c r="V123" s="1">
        <f>AVERAGE(Table1[[#This Row],[Clothing]:[Clothing and footwear]])</f>
        <v>124.7</v>
      </c>
      <c r="W123">
        <v>126</v>
      </c>
      <c r="X123">
        <v>115</v>
      </c>
      <c r="Y123">
        <v>123.2</v>
      </c>
      <c r="Z123">
        <v>120.3</v>
      </c>
      <c r="AA123">
        <v>110.7</v>
      </c>
      <c r="AB123" s="1">
        <f t="shared" si="4"/>
        <v>118.72499999999999</v>
      </c>
      <c r="AC123">
        <v>119.8</v>
      </c>
      <c r="AD123">
        <v>128</v>
      </c>
      <c r="AE123">
        <v>118.5</v>
      </c>
      <c r="AF123">
        <f t="shared" si="5"/>
        <v>119.4</v>
      </c>
      <c r="AG123">
        <v>118.7</v>
      </c>
      <c r="AH123">
        <v>126.6</v>
      </c>
      <c r="AI123">
        <f t="shared" si="6"/>
        <v>122.65</v>
      </c>
    </row>
    <row r="124" spans="1:35" x14ac:dyDescent="0.25">
      <c r="A124" t="s">
        <v>31</v>
      </c>
      <c r="B124">
        <v>2016</v>
      </c>
      <c r="C124" t="s">
        <v>35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 s="1">
        <f>AVERAGE(Table1[[#This Row],[Cereals and products]:[Food and beverages]])</f>
        <v>133.1076923076923</v>
      </c>
      <c r="R124">
        <v>137.69999999999999</v>
      </c>
      <c r="S124">
        <v>132.19999999999999</v>
      </c>
      <c r="T124">
        <v>126.8</v>
      </c>
      <c r="U124">
        <v>131.4</v>
      </c>
      <c r="V124" s="1">
        <f>AVERAGE(Table1[[#This Row],[Clothing]:[Clothing and footwear]])</f>
        <v>130.13333333333333</v>
      </c>
      <c r="W124">
        <v>126</v>
      </c>
      <c r="X124">
        <v>122.7</v>
      </c>
      <c r="Y124">
        <v>126</v>
      </c>
      <c r="Z124">
        <v>123.7</v>
      </c>
      <c r="AA124">
        <v>112.8</v>
      </c>
      <c r="AB124" s="1">
        <f t="shared" si="4"/>
        <v>121.875</v>
      </c>
      <c r="AC124">
        <v>121.5</v>
      </c>
      <c r="AD124">
        <v>128.5</v>
      </c>
      <c r="AE124">
        <v>119.2</v>
      </c>
      <c r="AF124">
        <f t="shared" si="5"/>
        <v>121.45</v>
      </c>
      <c r="AG124">
        <v>120.7</v>
      </c>
      <c r="AH124">
        <v>128.6</v>
      </c>
      <c r="AI124">
        <f t="shared" si="6"/>
        <v>124.65</v>
      </c>
    </row>
    <row r="125" spans="1:35" x14ac:dyDescent="0.25">
      <c r="A125" t="s">
        <v>28</v>
      </c>
      <c r="B125">
        <v>2016</v>
      </c>
      <c r="C125" t="s">
        <v>36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 s="1">
        <f>AVERAGE(Table1[[#This Row],[Cereals and products]:[Food and beverages]])</f>
        <v>134.50769230769231</v>
      </c>
      <c r="R125">
        <v>137.19999999999999</v>
      </c>
      <c r="S125">
        <v>136.30000000000001</v>
      </c>
      <c r="T125">
        <v>131.6</v>
      </c>
      <c r="U125">
        <v>135.6</v>
      </c>
      <c r="V125" s="1">
        <f>AVERAGE(Table1[[#This Row],[Clothing]:[Clothing and footwear]])</f>
        <v>134.5</v>
      </c>
      <c r="X125">
        <v>128</v>
      </c>
      <c r="Y125">
        <v>129.30000000000001</v>
      </c>
      <c r="Z125">
        <v>126.2</v>
      </c>
      <c r="AA125">
        <v>116.3</v>
      </c>
      <c r="AB125" s="1">
        <f t="shared" si="4"/>
        <v>124.53333333333335</v>
      </c>
      <c r="AC125">
        <v>124.1</v>
      </c>
      <c r="AD125">
        <v>130.19999999999999</v>
      </c>
      <c r="AE125">
        <v>119.9</v>
      </c>
      <c r="AF125">
        <f t="shared" si="5"/>
        <v>123.05000000000001</v>
      </c>
      <c r="AG125">
        <v>123.3</v>
      </c>
      <c r="AH125">
        <v>131.9</v>
      </c>
      <c r="AI125">
        <f t="shared" si="6"/>
        <v>127.6</v>
      </c>
    </row>
    <row r="126" spans="1:35" x14ac:dyDescent="0.25">
      <c r="A126" t="s">
        <v>30</v>
      </c>
      <c r="B126">
        <v>2016</v>
      </c>
      <c r="C126" t="s">
        <v>36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 s="1">
        <f>AVERAGE(Table1[[#This Row],[Cereals and products]:[Food and beverages]])</f>
        <v>137.46153846153848</v>
      </c>
      <c r="R126">
        <v>142.69999999999999</v>
      </c>
      <c r="S126">
        <v>127.6</v>
      </c>
      <c r="T126">
        <v>121.1</v>
      </c>
      <c r="U126">
        <v>126.6</v>
      </c>
      <c r="V126" s="1">
        <f>AVERAGE(Table1[[#This Row],[Clothing]:[Clothing and footwear]])</f>
        <v>125.09999999999998</v>
      </c>
      <c r="W126">
        <v>125.5</v>
      </c>
      <c r="X126">
        <v>115.5</v>
      </c>
      <c r="Y126">
        <v>123.2</v>
      </c>
      <c r="Z126">
        <v>120.6</v>
      </c>
      <c r="AA126">
        <v>112.3</v>
      </c>
      <c r="AB126" s="1">
        <f t="shared" si="4"/>
        <v>119.125</v>
      </c>
      <c r="AC126">
        <v>119.9</v>
      </c>
      <c r="AD126">
        <v>129.30000000000001</v>
      </c>
      <c r="AE126">
        <v>118.8</v>
      </c>
      <c r="AF126">
        <f t="shared" si="5"/>
        <v>119.69999999999999</v>
      </c>
      <c r="AG126">
        <v>119.6</v>
      </c>
      <c r="AH126">
        <v>128.1</v>
      </c>
      <c r="AI126">
        <f t="shared" si="6"/>
        <v>123.85</v>
      </c>
    </row>
    <row r="127" spans="1:35" x14ac:dyDescent="0.25">
      <c r="A127" t="s">
        <v>31</v>
      </c>
      <c r="B127">
        <v>2016</v>
      </c>
      <c r="C127" t="s">
        <v>36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 s="1">
        <f>AVERAGE(Table1[[#This Row],[Cereals and products]:[Food and beverages]])</f>
        <v>135.43076923076922</v>
      </c>
      <c r="R127">
        <v>138.69999999999999</v>
      </c>
      <c r="S127">
        <v>132.9</v>
      </c>
      <c r="T127">
        <v>127.2</v>
      </c>
      <c r="U127">
        <v>132</v>
      </c>
      <c r="V127" s="1">
        <f>AVERAGE(Table1[[#This Row],[Clothing]:[Clothing and footwear]])</f>
        <v>130.70000000000002</v>
      </c>
      <c r="W127">
        <v>125.5</v>
      </c>
      <c r="X127">
        <v>123.3</v>
      </c>
      <c r="Y127">
        <v>126.4</v>
      </c>
      <c r="Z127">
        <v>124.1</v>
      </c>
      <c r="AA127">
        <v>114.2</v>
      </c>
      <c r="AB127" s="1">
        <f t="shared" si="4"/>
        <v>122.35000000000001</v>
      </c>
      <c r="AC127">
        <v>121.7</v>
      </c>
      <c r="AD127">
        <v>129.69999999999999</v>
      </c>
      <c r="AE127">
        <v>119.4</v>
      </c>
      <c r="AF127">
        <f t="shared" si="5"/>
        <v>121.75</v>
      </c>
      <c r="AG127">
        <v>121.5</v>
      </c>
      <c r="AH127">
        <v>130.1</v>
      </c>
      <c r="AI127">
        <f t="shared" si="6"/>
        <v>125.8</v>
      </c>
    </row>
    <row r="128" spans="1:35" x14ac:dyDescent="0.25">
      <c r="A128" t="s">
        <v>28</v>
      </c>
      <c r="B128">
        <v>2016</v>
      </c>
      <c r="C128" t="s">
        <v>37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 s="1">
        <f>AVERAGE(Table1[[#This Row],[Cereals and products]:[Food and beverages]])</f>
        <v>136.17692307692306</v>
      </c>
      <c r="R128">
        <v>138</v>
      </c>
      <c r="S128">
        <v>137.19999999999999</v>
      </c>
      <c r="T128">
        <v>132.19999999999999</v>
      </c>
      <c r="U128">
        <v>136.5</v>
      </c>
      <c r="V128" s="1">
        <f>AVERAGE(Table1[[#This Row],[Clothing]:[Clothing and footwear]])</f>
        <v>135.29999999999998</v>
      </c>
      <c r="X128">
        <v>128.19999999999999</v>
      </c>
      <c r="Y128">
        <v>130</v>
      </c>
      <c r="Z128">
        <v>126.7</v>
      </c>
      <c r="AA128">
        <v>116.4</v>
      </c>
      <c r="AB128" s="1">
        <f t="shared" si="4"/>
        <v>124.86666666666667</v>
      </c>
      <c r="AC128">
        <v>125.2</v>
      </c>
      <c r="AD128">
        <v>130.80000000000001</v>
      </c>
      <c r="AE128">
        <v>120.9</v>
      </c>
      <c r="AF128">
        <f t="shared" si="5"/>
        <v>123.80000000000001</v>
      </c>
      <c r="AG128">
        <v>123.8</v>
      </c>
      <c r="AH128">
        <v>133</v>
      </c>
      <c r="AI128">
        <f t="shared" si="6"/>
        <v>128.4</v>
      </c>
    </row>
    <row r="129" spans="1:35" x14ac:dyDescent="0.25">
      <c r="A129" t="s">
        <v>30</v>
      </c>
      <c r="B129">
        <v>2016</v>
      </c>
      <c r="C129" t="s">
        <v>37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 s="1">
        <f>AVERAGE(Table1[[#This Row],[Cereals and products]:[Food and beverages]])</f>
        <v>139.34615384615387</v>
      </c>
      <c r="R129">
        <v>142.9</v>
      </c>
      <c r="S129">
        <v>127.9</v>
      </c>
      <c r="T129">
        <v>121.1</v>
      </c>
      <c r="U129">
        <v>126.9</v>
      </c>
      <c r="V129" s="1">
        <f>AVERAGE(Table1[[#This Row],[Clothing]:[Clothing and footwear]])</f>
        <v>125.3</v>
      </c>
      <c r="W129">
        <v>126.4</v>
      </c>
      <c r="X129">
        <v>115.5</v>
      </c>
      <c r="Y129">
        <v>123.5</v>
      </c>
      <c r="Z129">
        <v>120.9</v>
      </c>
      <c r="AA129">
        <v>111.7</v>
      </c>
      <c r="AB129" s="1">
        <f t="shared" si="4"/>
        <v>119.27499999999999</v>
      </c>
      <c r="AC129">
        <v>120.3</v>
      </c>
      <c r="AD129">
        <v>130.80000000000001</v>
      </c>
      <c r="AE129">
        <v>120</v>
      </c>
      <c r="AF129">
        <f t="shared" si="5"/>
        <v>120.45</v>
      </c>
      <c r="AG129">
        <v>119.9</v>
      </c>
      <c r="AH129">
        <v>129</v>
      </c>
      <c r="AI129">
        <f t="shared" si="6"/>
        <v>124.45</v>
      </c>
    </row>
    <row r="130" spans="1:35" x14ac:dyDescent="0.25">
      <c r="A130" t="s">
        <v>31</v>
      </c>
      <c r="B130">
        <v>2016</v>
      </c>
      <c r="C130" t="s">
        <v>37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 s="1">
        <f>AVERAGE(Table1[[#This Row],[Cereals and products]:[Food and beverages]])</f>
        <v>137.19230769230768</v>
      </c>
      <c r="R130">
        <v>139.30000000000001</v>
      </c>
      <c r="S130">
        <v>133.5</v>
      </c>
      <c r="T130">
        <v>127.6</v>
      </c>
      <c r="U130">
        <v>132.69999999999999</v>
      </c>
      <c r="V130" s="1">
        <f>AVERAGE(Table1[[#This Row],[Clothing]:[Clothing and footwear]])</f>
        <v>131.26666666666668</v>
      </c>
      <c r="W130">
        <v>126.4</v>
      </c>
      <c r="X130">
        <v>123.4</v>
      </c>
      <c r="Y130">
        <v>126.9</v>
      </c>
      <c r="Z130">
        <v>124.5</v>
      </c>
      <c r="AA130">
        <v>113.9</v>
      </c>
      <c r="AB130" s="1">
        <f t="shared" ref="AB130:AB193" si="7">AVERAGE(W130,X130,Y130,AA130)</f>
        <v>122.65</v>
      </c>
      <c r="AC130">
        <v>122.4</v>
      </c>
      <c r="AD130">
        <v>130.80000000000001</v>
      </c>
      <c r="AE130">
        <v>120.5</v>
      </c>
      <c r="AF130">
        <f t="shared" ref="AF130:AF193" si="8">AVERAGE(Z130,AE130)</f>
        <v>122.5</v>
      </c>
      <c r="AG130">
        <v>121.9</v>
      </c>
      <c r="AH130">
        <v>131.1</v>
      </c>
      <c r="AI130">
        <f t="shared" ref="AI130:AI193" si="9">AVERAGE(AG130,AH130)</f>
        <v>126.5</v>
      </c>
    </row>
    <row r="131" spans="1:35" x14ac:dyDescent="0.25">
      <c r="A131" t="s">
        <v>28</v>
      </c>
      <c r="B131">
        <v>2016</v>
      </c>
      <c r="C131" t="s">
        <v>38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 s="1">
        <f>AVERAGE(Table1[[#This Row],[Cereals and products]:[Food and beverages]])</f>
        <v>136.73076923076923</v>
      </c>
      <c r="R131">
        <v>138.9</v>
      </c>
      <c r="S131">
        <v>137.80000000000001</v>
      </c>
      <c r="T131">
        <v>133</v>
      </c>
      <c r="U131">
        <v>137.1</v>
      </c>
      <c r="V131" s="1">
        <f>AVERAGE(Table1[[#This Row],[Clothing]:[Clothing and footwear]])</f>
        <v>135.96666666666667</v>
      </c>
      <c r="X131">
        <v>129.1</v>
      </c>
      <c r="Y131">
        <v>130.6</v>
      </c>
      <c r="Z131">
        <v>127</v>
      </c>
      <c r="AA131">
        <v>116</v>
      </c>
      <c r="AB131" s="1">
        <f t="shared" si="7"/>
        <v>125.23333333333333</v>
      </c>
      <c r="AC131">
        <v>125.5</v>
      </c>
      <c r="AD131">
        <v>131.9</v>
      </c>
      <c r="AE131">
        <v>122</v>
      </c>
      <c r="AF131">
        <f t="shared" si="8"/>
        <v>124.5</v>
      </c>
      <c r="AG131">
        <v>124.2</v>
      </c>
      <c r="AH131">
        <v>133.5</v>
      </c>
      <c r="AI131">
        <f t="shared" si="9"/>
        <v>128.85</v>
      </c>
    </row>
    <row r="132" spans="1:35" x14ac:dyDescent="0.25">
      <c r="A132" t="s">
        <v>30</v>
      </c>
      <c r="B132">
        <v>2016</v>
      </c>
      <c r="C132" t="s">
        <v>38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 s="1">
        <f>AVERAGE(Table1[[#This Row],[Cereals and products]:[Food and beverages]])</f>
        <v>137.2307692307692</v>
      </c>
      <c r="R132">
        <v>143.6</v>
      </c>
      <c r="S132">
        <v>128.30000000000001</v>
      </c>
      <c r="T132">
        <v>121.4</v>
      </c>
      <c r="U132">
        <v>127.3</v>
      </c>
      <c r="V132" s="1">
        <f>AVERAGE(Table1[[#This Row],[Clothing]:[Clothing and footwear]])</f>
        <v>125.66666666666667</v>
      </c>
      <c r="W132">
        <v>127.3</v>
      </c>
      <c r="X132">
        <v>114.7</v>
      </c>
      <c r="Y132">
        <v>123.9</v>
      </c>
      <c r="Z132">
        <v>121.2</v>
      </c>
      <c r="AA132">
        <v>110.4</v>
      </c>
      <c r="AB132" s="1">
        <f t="shared" si="7"/>
        <v>119.07499999999999</v>
      </c>
      <c r="AC132">
        <v>120.6</v>
      </c>
      <c r="AD132">
        <v>131.5</v>
      </c>
      <c r="AE132">
        <v>120.9</v>
      </c>
      <c r="AF132">
        <f t="shared" si="8"/>
        <v>121.05000000000001</v>
      </c>
      <c r="AG132">
        <v>119.9</v>
      </c>
      <c r="AH132">
        <v>128.4</v>
      </c>
      <c r="AI132">
        <f t="shared" si="9"/>
        <v>124.15</v>
      </c>
    </row>
    <row r="133" spans="1:35" x14ac:dyDescent="0.25">
      <c r="A133" t="s">
        <v>31</v>
      </c>
      <c r="B133">
        <v>2016</v>
      </c>
      <c r="C133" t="s">
        <v>38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 s="1">
        <f>AVERAGE(Table1[[#This Row],[Cereals and products]:[Food and beverages]])</f>
        <v>136.76153846153846</v>
      </c>
      <c r="R133">
        <v>140.19999999999999</v>
      </c>
      <c r="S133">
        <v>134.1</v>
      </c>
      <c r="T133">
        <v>128.19999999999999</v>
      </c>
      <c r="U133">
        <v>133.19999999999999</v>
      </c>
      <c r="V133" s="1">
        <f>AVERAGE(Table1[[#This Row],[Clothing]:[Clothing and footwear]])</f>
        <v>131.83333333333331</v>
      </c>
      <c r="W133">
        <v>127.3</v>
      </c>
      <c r="X133">
        <v>123.6</v>
      </c>
      <c r="Y133">
        <v>127.4</v>
      </c>
      <c r="Z133">
        <v>124.8</v>
      </c>
      <c r="AA133">
        <v>113.1</v>
      </c>
      <c r="AB133" s="1">
        <f t="shared" si="7"/>
        <v>122.85</v>
      </c>
      <c r="AC133">
        <v>122.7</v>
      </c>
      <c r="AD133">
        <v>131.69999999999999</v>
      </c>
      <c r="AE133">
        <v>121.5</v>
      </c>
      <c r="AF133">
        <f t="shared" si="8"/>
        <v>123.15</v>
      </c>
      <c r="AG133">
        <v>122.1</v>
      </c>
      <c r="AH133">
        <v>131.1</v>
      </c>
      <c r="AI133">
        <f t="shared" si="9"/>
        <v>126.6</v>
      </c>
    </row>
    <row r="134" spans="1:35" x14ac:dyDescent="0.25">
      <c r="A134" t="s">
        <v>28</v>
      </c>
      <c r="B134">
        <v>2016</v>
      </c>
      <c r="C134" t="s">
        <v>39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 s="1">
        <f>AVERAGE(Table1[[#This Row],[Cereals and products]:[Food and beverages]])</f>
        <v>136.2076923076923</v>
      </c>
      <c r="R134">
        <v>139.9</v>
      </c>
      <c r="S134">
        <v>138.5</v>
      </c>
      <c r="T134">
        <v>133.5</v>
      </c>
      <c r="U134">
        <v>137.80000000000001</v>
      </c>
      <c r="V134" s="1">
        <f>AVERAGE(Table1[[#This Row],[Clothing]:[Clothing and footwear]])</f>
        <v>136.6</v>
      </c>
      <c r="X134">
        <v>129.69999999999999</v>
      </c>
      <c r="Y134">
        <v>131.1</v>
      </c>
      <c r="Z134">
        <v>127.8</v>
      </c>
      <c r="AA134">
        <v>117</v>
      </c>
      <c r="AB134" s="1">
        <f t="shared" si="7"/>
        <v>125.93333333333332</v>
      </c>
      <c r="AC134">
        <v>125.7</v>
      </c>
      <c r="AD134">
        <v>132.19999999999999</v>
      </c>
      <c r="AE134">
        <v>122.8</v>
      </c>
      <c r="AF134">
        <f t="shared" si="8"/>
        <v>125.3</v>
      </c>
      <c r="AG134">
        <v>124.9</v>
      </c>
      <c r="AH134">
        <v>133.4</v>
      </c>
      <c r="AI134">
        <f t="shared" si="9"/>
        <v>129.15</v>
      </c>
    </row>
    <row r="135" spans="1:35" x14ac:dyDescent="0.25">
      <c r="A135" t="s">
        <v>30</v>
      </c>
      <c r="B135">
        <v>2016</v>
      </c>
      <c r="C135" t="s">
        <v>39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 s="1">
        <f>AVERAGE(Table1[[#This Row],[Cereals and products]:[Food and beverages]])</f>
        <v>135.10769230769228</v>
      </c>
      <c r="R135">
        <v>143.9</v>
      </c>
      <c r="S135">
        <v>128.69999999999999</v>
      </c>
      <c r="T135">
        <v>121.6</v>
      </c>
      <c r="U135">
        <v>127.7</v>
      </c>
      <c r="V135" s="1">
        <f>AVERAGE(Table1[[#This Row],[Clothing]:[Clothing and footwear]])</f>
        <v>126</v>
      </c>
      <c r="W135">
        <v>127.9</v>
      </c>
      <c r="X135">
        <v>114.8</v>
      </c>
      <c r="Y135">
        <v>124.3</v>
      </c>
      <c r="Z135">
        <v>121.4</v>
      </c>
      <c r="AA135">
        <v>111.8</v>
      </c>
      <c r="AB135" s="1">
        <f t="shared" si="7"/>
        <v>119.7</v>
      </c>
      <c r="AC135">
        <v>120.8</v>
      </c>
      <c r="AD135">
        <v>131.6</v>
      </c>
      <c r="AE135">
        <v>121.2</v>
      </c>
      <c r="AF135">
        <f t="shared" si="8"/>
        <v>121.30000000000001</v>
      </c>
      <c r="AG135">
        <v>120.5</v>
      </c>
      <c r="AH135">
        <v>128</v>
      </c>
      <c r="AI135">
        <f t="shared" si="9"/>
        <v>124.25</v>
      </c>
    </row>
    <row r="136" spans="1:35" x14ac:dyDescent="0.25">
      <c r="A136" t="s">
        <v>31</v>
      </c>
      <c r="B136">
        <v>2016</v>
      </c>
      <c r="C136" t="s">
        <v>39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 s="1">
        <f>AVERAGE(Table1[[#This Row],[Cereals and products]:[Food and beverages]])</f>
        <v>135.66923076923075</v>
      </c>
      <c r="R136">
        <v>141</v>
      </c>
      <c r="S136">
        <v>134.6</v>
      </c>
      <c r="T136">
        <v>128.6</v>
      </c>
      <c r="U136">
        <v>133.80000000000001</v>
      </c>
      <c r="V136" s="1">
        <f>AVERAGE(Table1[[#This Row],[Clothing]:[Clothing and footwear]])</f>
        <v>132.33333333333334</v>
      </c>
      <c r="W136">
        <v>127.9</v>
      </c>
      <c r="X136">
        <v>124.1</v>
      </c>
      <c r="Y136">
        <v>127.9</v>
      </c>
      <c r="Z136">
        <v>125.4</v>
      </c>
      <c r="AA136">
        <v>114.3</v>
      </c>
      <c r="AB136" s="1">
        <f t="shared" si="7"/>
        <v>123.55</v>
      </c>
      <c r="AC136">
        <v>122.9</v>
      </c>
      <c r="AD136">
        <v>131.80000000000001</v>
      </c>
      <c r="AE136">
        <v>122.1</v>
      </c>
      <c r="AF136">
        <f t="shared" si="8"/>
        <v>123.75</v>
      </c>
      <c r="AG136">
        <v>122.8</v>
      </c>
      <c r="AH136">
        <v>130.9</v>
      </c>
      <c r="AI136">
        <f t="shared" si="9"/>
        <v>126.85</v>
      </c>
    </row>
    <row r="137" spans="1:35" x14ac:dyDescent="0.25">
      <c r="A137" t="s">
        <v>28</v>
      </c>
      <c r="B137">
        <v>2016</v>
      </c>
      <c r="C137" t="s">
        <v>40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 s="1">
        <f>AVERAGE(Table1[[#This Row],[Cereals and products]:[Food and beverages]])</f>
        <v>136.2923076923077</v>
      </c>
      <c r="R137">
        <v>140.9</v>
      </c>
      <c r="S137">
        <v>139.6</v>
      </c>
      <c r="T137">
        <v>134.30000000000001</v>
      </c>
      <c r="U137">
        <v>138.80000000000001</v>
      </c>
      <c r="V137" s="1">
        <f>AVERAGE(Table1[[#This Row],[Clothing]:[Clothing and footwear]])</f>
        <v>137.56666666666666</v>
      </c>
      <c r="X137">
        <v>129.80000000000001</v>
      </c>
      <c r="Y137">
        <v>131.80000000000001</v>
      </c>
      <c r="Z137">
        <v>128.69999999999999</v>
      </c>
      <c r="AA137">
        <v>117.8</v>
      </c>
      <c r="AB137" s="1">
        <f t="shared" si="7"/>
        <v>126.46666666666668</v>
      </c>
      <c r="AC137">
        <v>126.5</v>
      </c>
      <c r="AD137">
        <v>133</v>
      </c>
      <c r="AE137">
        <v>123</v>
      </c>
      <c r="AF137">
        <f t="shared" si="8"/>
        <v>125.85</v>
      </c>
      <c r="AG137">
        <v>125.7</v>
      </c>
      <c r="AH137">
        <v>133.80000000000001</v>
      </c>
      <c r="AI137">
        <f t="shared" si="9"/>
        <v>129.75</v>
      </c>
    </row>
    <row r="138" spans="1:35" x14ac:dyDescent="0.25">
      <c r="A138" t="s">
        <v>30</v>
      </c>
      <c r="B138">
        <v>2016</v>
      </c>
      <c r="C138" t="s">
        <v>40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 s="1">
        <f>AVERAGE(Table1[[#This Row],[Cereals and products]:[Food and beverages]])</f>
        <v>135.6076923076923</v>
      </c>
      <c r="R138">
        <v>144.30000000000001</v>
      </c>
      <c r="S138">
        <v>129.1</v>
      </c>
      <c r="T138">
        <v>121.9</v>
      </c>
      <c r="U138">
        <v>128</v>
      </c>
      <c r="V138" s="1">
        <f>AVERAGE(Table1[[#This Row],[Clothing]:[Clothing and footwear]])</f>
        <v>126.33333333333333</v>
      </c>
      <c r="W138">
        <v>128.69999999999999</v>
      </c>
      <c r="X138">
        <v>115.2</v>
      </c>
      <c r="Y138">
        <v>124.5</v>
      </c>
      <c r="Z138">
        <v>121.8</v>
      </c>
      <c r="AA138">
        <v>112.8</v>
      </c>
      <c r="AB138" s="1">
        <f t="shared" si="7"/>
        <v>120.3</v>
      </c>
      <c r="AC138">
        <v>121.2</v>
      </c>
      <c r="AD138">
        <v>131.9</v>
      </c>
      <c r="AE138">
        <v>120.8</v>
      </c>
      <c r="AF138">
        <f t="shared" si="8"/>
        <v>121.3</v>
      </c>
      <c r="AG138">
        <v>120.9</v>
      </c>
      <c r="AH138">
        <v>128.6</v>
      </c>
      <c r="AI138">
        <f t="shared" si="9"/>
        <v>124.75</v>
      </c>
    </row>
    <row r="139" spans="1:35" x14ac:dyDescent="0.25">
      <c r="A139" t="s">
        <v>31</v>
      </c>
      <c r="B139">
        <v>2016</v>
      </c>
      <c r="C139" t="s">
        <v>40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 s="1">
        <f>AVERAGE(Table1[[#This Row],[Cereals and products]:[Food and beverages]])</f>
        <v>135.90769230769226</v>
      </c>
      <c r="R139">
        <v>141.80000000000001</v>
      </c>
      <c r="S139">
        <v>135.5</v>
      </c>
      <c r="T139">
        <v>129.1</v>
      </c>
      <c r="U139">
        <v>134.5</v>
      </c>
      <c r="V139" s="1">
        <f>AVERAGE(Table1[[#This Row],[Clothing]:[Clothing and footwear]])</f>
        <v>133.03333333333333</v>
      </c>
      <c r="W139">
        <v>128.69999999999999</v>
      </c>
      <c r="X139">
        <v>124.3</v>
      </c>
      <c r="Y139">
        <v>128.4</v>
      </c>
      <c r="Z139">
        <v>126.1</v>
      </c>
      <c r="AA139">
        <v>115.2</v>
      </c>
      <c r="AB139" s="1">
        <f t="shared" si="7"/>
        <v>124.14999999999999</v>
      </c>
      <c r="AC139">
        <v>123.5</v>
      </c>
      <c r="AD139">
        <v>132.4</v>
      </c>
      <c r="AE139">
        <v>122.1</v>
      </c>
      <c r="AF139">
        <f t="shared" si="8"/>
        <v>124.1</v>
      </c>
      <c r="AG139">
        <v>123.4</v>
      </c>
      <c r="AH139">
        <v>131.4</v>
      </c>
      <c r="AI139">
        <f t="shared" si="9"/>
        <v>127.4</v>
      </c>
    </row>
    <row r="140" spans="1:35" x14ac:dyDescent="0.25">
      <c r="A140" t="s">
        <v>28</v>
      </c>
      <c r="B140">
        <v>2016</v>
      </c>
      <c r="C140" t="s">
        <v>42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 s="1">
        <f>AVERAGE(Table1[[#This Row],[Cereals and products]:[Food and beverages]])</f>
        <v>135.73846153846154</v>
      </c>
      <c r="R140">
        <v>141.19999999999999</v>
      </c>
      <c r="S140">
        <v>139.9</v>
      </c>
      <c r="T140">
        <v>134.5</v>
      </c>
      <c r="U140">
        <v>139.19999999999999</v>
      </c>
      <c r="V140" s="1">
        <f>AVERAGE(Table1[[#This Row],[Clothing]:[Clothing and footwear]])</f>
        <v>137.86666666666665</v>
      </c>
      <c r="X140">
        <v>130.30000000000001</v>
      </c>
      <c r="Y140">
        <v>132.1</v>
      </c>
      <c r="Z140">
        <v>129.1</v>
      </c>
      <c r="AA140">
        <v>118.2</v>
      </c>
      <c r="AB140" s="1">
        <f t="shared" si="7"/>
        <v>126.86666666666666</v>
      </c>
      <c r="AC140">
        <v>126.9</v>
      </c>
      <c r="AD140">
        <v>133.69999999999999</v>
      </c>
      <c r="AE140">
        <v>123.5</v>
      </c>
      <c r="AF140">
        <f t="shared" si="8"/>
        <v>126.3</v>
      </c>
      <c r="AG140">
        <v>126.1</v>
      </c>
      <c r="AH140">
        <v>133.6</v>
      </c>
      <c r="AI140">
        <f t="shared" si="9"/>
        <v>129.85</v>
      </c>
    </row>
    <row r="141" spans="1:35" x14ac:dyDescent="0.25">
      <c r="A141" t="s">
        <v>30</v>
      </c>
      <c r="B141">
        <v>2016</v>
      </c>
      <c r="C141" t="s">
        <v>42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 s="1">
        <f>AVERAGE(Table1[[#This Row],[Cereals and products]:[Food and beverages]])</f>
        <v>135.01538461538462</v>
      </c>
      <c r="R141">
        <v>144.30000000000001</v>
      </c>
      <c r="S141">
        <v>129.6</v>
      </c>
      <c r="T141">
        <v>122.1</v>
      </c>
      <c r="U141">
        <v>128.5</v>
      </c>
      <c r="V141" s="1">
        <f>AVERAGE(Table1[[#This Row],[Clothing]:[Clothing and footwear]])</f>
        <v>126.73333333333333</v>
      </c>
      <c r="W141">
        <v>129.1</v>
      </c>
      <c r="X141">
        <v>116.2</v>
      </c>
      <c r="Y141">
        <v>124.7</v>
      </c>
      <c r="Z141">
        <v>122.1</v>
      </c>
      <c r="AA141">
        <v>113.4</v>
      </c>
      <c r="AB141" s="1">
        <f t="shared" si="7"/>
        <v>120.85</v>
      </c>
      <c r="AC141">
        <v>121.7</v>
      </c>
      <c r="AD141">
        <v>132.1</v>
      </c>
      <c r="AE141">
        <v>121.3</v>
      </c>
      <c r="AF141">
        <f t="shared" si="8"/>
        <v>121.69999999999999</v>
      </c>
      <c r="AG141">
        <v>121.3</v>
      </c>
      <c r="AH141">
        <v>128.5</v>
      </c>
      <c r="AI141">
        <f t="shared" si="9"/>
        <v>124.9</v>
      </c>
    </row>
    <row r="142" spans="1:35" x14ac:dyDescent="0.25">
      <c r="A142" t="s">
        <v>31</v>
      </c>
      <c r="B142">
        <v>2016</v>
      </c>
      <c r="C142" t="s">
        <v>42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 s="1">
        <f>AVERAGE(Table1[[#This Row],[Cereals and products]:[Food and beverages]])</f>
        <v>135.36923076923077</v>
      </c>
      <c r="R142">
        <v>142</v>
      </c>
      <c r="S142">
        <v>135.80000000000001</v>
      </c>
      <c r="T142">
        <v>129.30000000000001</v>
      </c>
      <c r="U142">
        <v>135</v>
      </c>
      <c r="V142" s="1">
        <f>AVERAGE(Table1[[#This Row],[Clothing]:[Clothing and footwear]])</f>
        <v>133.36666666666667</v>
      </c>
      <c r="W142">
        <v>129.1</v>
      </c>
      <c r="X142">
        <v>125</v>
      </c>
      <c r="Y142">
        <v>128.6</v>
      </c>
      <c r="Z142">
        <v>126.4</v>
      </c>
      <c r="AA142">
        <v>115.7</v>
      </c>
      <c r="AB142" s="1">
        <f t="shared" si="7"/>
        <v>124.6</v>
      </c>
      <c r="AC142">
        <v>124</v>
      </c>
      <c r="AD142">
        <v>132.80000000000001</v>
      </c>
      <c r="AE142">
        <v>122.6</v>
      </c>
      <c r="AF142">
        <f t="shared" si="8"/>
        <v>124.5</v>
      </c>
      <c r="AG142">
        <v>123.8</v>
      </c>
      <c r="AH142">
        <v>131.19999999999999</v>
      </c>
      <c r="AI142">
        <f t="shared" si="9"/>
        <v>127.5</v>
      </c>
    </row>
    <row r="143" spans="1:35" x14ac:dyDescent="0.25">
      <c r="A143" t="s">
        <v>28</v>
      </c>
      <c r="B143">
        <v>2016</v>
      </c>
      <c r="C143" t="s">
        <v>43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 s="1">
        <f>AVERAGE(Table1[[#This Row],[Cereals and products]:[Food and beverages]])</f>
        <v>134.54615384615383</v>
      </c>
      <c r="R143">
        <v>142.4</v>
      </c>
      <c r="S143">
        <v>140.4</v>
      </c>
      <c r="T143">
        <v>135.19999999999999</v>
      </c>
      <c r="U143">
        <v>139.69999999999999</v>
      </c>
      <c r="V143" s="1">
        <f>AVERAGE(Table1[[#This Row],[Clothing]:[Clothing and footwear]])</f>
        <v>138.43333333333334</v>
      </c>
      <c r="X143">
        <v>132</v>
      </c>
      <c r="Y143">
        <v>132.9</v>
      </c>
      <c r="Z143">
        <v>129.69999999999999</v>
      </c>
      <c r="AA143">
        <v>118.6</v>
      </c>
      <c r="AB143" s="1">
        <f t="shared" si="7"/>
        <v>127.83333333333333</v>
      </c>
      <c r="AC143">
        <v>127.3</v>
      </c>
      <c r="AD143">
        <v>134.19999999999999</v>
      </c>
      <c r="AE143">
        <v>121.9</v>
      </c>
      <c r="AF143">
        <f t="shared" si="8"/>
        <v>125.8</v>
      </c>
      <c r="AG143">
        <v>126.3</v>
      </c>
      <c r="AH143">
        <v>132.80000000000001</v>
      </c>
      <c r="AI143">
        <f t="shared" si="9"/>
        <v>129.55000000000001</v>
      </c>
    </row>
    <row r="144" spans="1:35" x14ac:dyDescent="0.25">
      <c r="A144" t="s">
        <v>30</v>
      </c>
      <c r="B144">
        <v>2016</v>
      </c>
      <c r="C144" t="s">
        <v>43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 s="1">
        <f>AVERAGE(Table1[[#This Row],[Cereals and products]:[Food and beverages]])</f>
        <v>133.06153846153845</v>
      </c>
      <c r="R144">
        <v>145</v>
      </c>
      <c r="S144">
        <v>130</v>
      </c>
      <c r="T144">
        <v>122.2</v>
      </c>
      <c r="U144">
        <v>128.80000000000001</v>
      </c>
      <c r="V144" s="1">
        <f>AVERAGE(Table1[[#This Row],[Clothing]:[Clothing and footwear]])</f>
        <v>127</v>
      </c>
      <c r="W144">
        <v>128.5</v>
      </c>
      <c r="X144">
        <v>117.8</v>
      </c>
      <c r="Y144">
        <v>125</v>
      </c>
      <c r="Z144">
        <v>122.3</v>
      </c>
      <c r="AA144">
        <v>113.7</v>
      </c>
      <c r="AB144" s="1">
        <f t="shared" si="7"/>
        <v>121.25</v>
      </c>
      <c r="AC144">
        <v>121.8</v>
      </c>
      <c r="AD144">
        <v>132.30000000000001</v>
      </c>
      <c r="AE144">
        <v>119.9</v>
      </c>
      <c r="AF144">
        <f t="shared" si="8"/>
        <v>121.1</v>
      </c>
      <c r="AG144">
        <v>121.4</v>
      </c>
      <c r="AH144">
        <v>127.6</v>
      </c>
      <c r="AI144">
        <f t="shared" si="9"/>
        <v>124.5</v>
      </c>
    </row>
    <row r="145" spans="1:35" x14ac:dyDescent="0.25">
      <c r="A145" t="s">
        <v>31</v>
      </c>
      <c r="B145">
        <v>2016</v>
      </c>
      <c r="C145" t="s">
        <v>43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 s="1">
        <f>AVERAGE(Table1[[#This Row],[Cereals and products]:[Food and beverages]])</f>
        <v>133.9</v>
      </c>
      <c r="R145">
        <v>143.1</v>
      </c>
      <c r="S145">
        <v>136.30000000000001</v>
      </c>
      <c r="T145">
        <v>129.80000000000001</v>
      </c>
      <c r="U145">
        <v>135.4</v>
      </c>
      <c r="V145" s="1">
        <f>AVERAGE(Table1[[#This Row],[Clothing]:[Clothing and footwear]])</f>
        <v>133.83333333333334</v>
      </c>
      <c r="W145">
        <v>128.5</v>
      </c>
      <c r="X145">
        <v>126.6</v>
      </c>
      <c r="Y145">
        <v>129.19999999999999</v>
      </c>
      <c r="Z145">
        <v>126.9</v>
      </c>
      <c r="AA145">
        <v>116</v>
      </c>
      <c r="AB145" s="1">
        <f t="shared" si="7"/>
        <v>125.07499999999999</v>
      </c>
      <c r="AC145">
        <v>124.2</v>
      </c>
      <c r="AD145">
        <v>133.1</v>
      </c>
      <c r="AE145">
        <v>121.1</v>
      </c>
      <c r="AF145">
        <f t="shared" si="8"/>
        <v>124</v>
      </c>
      <c r="AG145">
        <v>123.9</v>
      </c>
      <c r="AH145">
        <v>130.4</v>
      </c>
      <c r="AI145">
        <f t="shared" si="9"/>
        <v>127.15</v>
      </c>
    </row>
    <row r="146" spans="1:35" x14ac:dyDescent="0.25">
      <c r="A146" t="s">
        <v>28</v>
      </c>
      <c r="B146">
        <v>2017</v>
      </c>
      <c r="C146" t="s">
        <v>29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 s="1">
        <f>AVERAGE(Table1[[#This Row],[Cereals and products]:[Food and beverages]])</f>
        <v>133.63846153846154</v>
      </c>
      <c r="R146">
        <v>143.1</v>
      </c>
      <c r="S146">
        <v>140.69999999999999</v>
      </c>
      <c r="T146">
        <v>135.80000000000001</v>
      </c>
      <c r="U146">
        <v>140</v>
      </c>
      <c r="V146" s="1">
        <f>AVERAGE(Table1[[#This Row],[Clothing]:[Clothing and footwear]])</f>
        <v>138.83333333333334</v>
      </c>
      <c r="X146">
        <v>132.1</v>
      </c>
      <c r="Y146">
        <v>133.19999999999999</v>
      </c>
      <c r="Z146">
        <v>129.9</v>
      </c>
      <c r="AA146">
        <v>119.1</v>
      </c>
      <c r="AB146" s="1">
        <f t="shared" si="7"/>
        <v>128.13333333333333</v>
      </c>
      <c r="AC146">
        <v>127</v>
      </c>
      <c r="AD146">
        <v>134.6</v>
      </c>
      <c r="AE146">
        <v>122.3</v>
      </c>
      <c r="AF146">
        <f t="shared" si="8"/>
        <v>126.1</v>
      </c>
      <c r="AG146">
        <v>126.6</v>
      </c>
      <c r="AH146">
        <v>132.4</v>
      </c>
      <c r="AI146">
        <f t="shared" si="9"/>
        <v>129.5</v>
      </c>
    </row>
    <row r="147" spans="1:35" x14ac:dyDescent="0.25">
      <c r="A147" t="s">
        <v>30</v>
      </c>
      <c r="B147">
        <v>2017</v>
      </c>
      <c r="C147" t="s">
        <v>29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 s="1">
        <f>AVERAGE(Table1[[#This Row],[Cereals and products]:[Food and beverages]])</f>
        <v>131.78461538461539</v>
      </c>
      <c r="R147">
        <v>145.6</v>
      </c>
      <c r="S147">
        <v>130.19999999999999</v>
      </c>
      <c r="T147">
        <v>122.3</v>
      </c>
      <c r="U147">
        <v>129</v>
      </c>
      <c r="V147" s="1">
        <f>AVERAGE(Table1[[#This Row],[Clothing]:[Clothing and footwear]])</f>
        <v>127.16666666666667</v>
      </c>
      <c r="W147">
        <v>129.6</v>
      </c>
      <c r="X147">
        <v>118</v>
      </c>
      <c r="Y147">
        <v>125.1</v>
      </c>
      <c r="Z147">
        <v>122.6</v>
      </c>
      <c r="AA147">
        <v>115.2</v>
      </c>
      <c r="AB147" s="1">
        <f t="shared" si="7"/>
        <v>121.97499999999999</v>
      </c>
      <c r="AC147">
        <v>122</v>
      </c>
      <c r="AD147">
        <v>132.4</v>
      </c>
      <c r="AE147">
        <v>120.9</v>
      </c>
      <c r="AF147">
        <f t="shared" si="8"/>
        <v>121.75</v>
      </c>
      <c r="AG147">
        <v>122.1</v>
      </c>
      <c r="AH147">
        <v>127.8</v>
      </c>
      <c r="AI147">
        <f t="shared" si="9"/>
        <v>124.94999999999999</v>
      </c>
    </row>
    <row r="148" spans="1:35" x14ac:dyDescent="0.25">
      <c r="A148" t="s">
        <v>31</v>
      </c>
      <c r="B148">
        <v>2017</v>
      </c>
      <c r="C148" t="s">
        <v>29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 s="1">
        <f>AVERAGE(Table1[[#This Row],[Cereals and products]:[Food and beverages]])</f>
        <v>132.86923076923074</v>
      </c>
      <c r="R148">
        <v>143.80000000000001</v>
      </c>
      <c r="S148">
        <v>136.6</v>
      </c>
      <c r="T148">
        <v>130.19999999999999</v>
      </c>
      <c r="U148">
        <v>135.6</v>
      </c>
      <c r="V148" s="1">
        <f>AVERAGE(Table1[[#This Row],[Clothing]:[Clothing and footwear]])</f>
        <v>134.13333333333333</v>
      </c>
      <c r="W148">
        <v>129.6</v>
      </c>
      <c r="X148">
        <v>126.8</v>
      </c>
      <c r="Y148">
        <v>129.4</v>
      </c>
      <c r="Z148">
        <v>127.1</v>
      </c>
      <c r="AA148">
        <v>117</v>
      </c>
      <c r="AB148" s="1">
        <f t="shared" si="7"/>
        <v>125.69999999999999</v>
      </c>
      <c r="AC148">
        <v>124.2</v>
      </c>
      <c r="AD148">
        <v>133.30000000000001</v>
      </c>
      <c r="AE148">
        <v>121.7</v>
      </c>
      <c r="AF148">
        <f t="shared" si="8"/>
        <v>124.4</v>
      </c>
      <c r="AG148">
        <v>124.4</v>
      </c>
      <c r="AH148">
        <v>130.30000000000001</v>
      </c>
      <c r="AI148">
        <f t="shared" si="9"/>
        <v>127.35000000000001</v>
      </c>
    </row>
    <row r="149" spans="1:35" x14ac:dyDescent="0.25">
      <c r="A149" t="s">
        <v>28</v>
      </c>
      <c r="B149">
        <v>2017</v>
      </c>
      <c r="C149" t="s">
        <v>32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 s="1">
        <f>AVERAGE(Table1[[#This Row],[Cereals and products]:[Food and beverages]])</f>
        <v>133.42307692307693</v>
      </c>
      <c r="R149">
        <v>143.69999999999999</v>
      </c>
      <c r="S149">
        <v>140.9</v>
      </c>
      <c r="T149">
        <v>135.80000000000001</v>
      </c>
      <c r="U149">
        <v>140.19999999999999</v>
      </c>
      <c r="V149" s="1">
        <f>AVERAGE(Table1[[#This Row],[Clothing]:[Clothing and footwear]])</f>
        <v>138.96666666666667</v>
      </c>
      <c r="X149">
        <v>133.19999999999999</v>
      </c>
      <c r="Y149">
        <v>133.6</v>
      </c>
      <c r="Z149">
        <v>130.1</v>
      </c>
      <c r="AA149">
        <v>119.5</v>
      </c>
      <c r="AB149" s="1">
        <f t="shared" si="7"/>
        <v>128.76666666666665</v>
      </c>
      <c r="AC149">
        <v>127.7</v>
      </c>
      <c r="AD149">
        <v>134.9</v>
      </c>
      <c r="AE149">
        <v>123.2</v>
      </c>
      <c r="AF149">
        <f t="shared" si="8"/>
        <v>126.65</v>
      </c>
      <c r="AG149">
        <v>127</v>
      </c>
      <c r="AH149">
        <v>132.6</v>
      </c>
      <c r="AI149">
        <f t="shared" si="9"/>
        <v>129.80000000000001</v>
      </c>
    </row>
    <row r="150" spans="1:35" x14ac:dyDescent="0.25">
      <c r="A150" t="s">
        <v>30</v>
      </c>
      <c r="B150">
        <v>2017</v>
      </c>
      <c r="C150" t="s">
        <v>32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 s="1">
        <f>AVERAGE(Table1[[#This Row],[Cereals and products]:[Food and beverages]])</f>
        <v>131.17692307692309</v>
      </c>
      <c r="R150">
        <v>146.30000000000001</v>
      </c>
      <c r="S150">
        <v>130.5</v>
      </c>
      <c r="T150">
        <v>122.5</v>
      </c>
      <c r="U150">
        <v>129.30000000000001</v>
      </c>
      <c r="V150" s="1">
        <f>AVERAGE(Table1[[#This Row],[Clothing]:[Clothing and footwear]])</f>
        <v>127.43333333333334</v>
      </c>
      <c r="W150">
        <v>130.5</v>
      </c>
      <c r="X150">
        <v>119.2</v>
      </c>
      <c r="Y150">
        <v>125.3</v>
      </c>
      <c r="Z150">
        <v>122.9</v>
      </c>
      <c r="AA150">
        <v>115.5</v>
      </c>
      <c r="AB150" s="1">
        <f t="shared" si="7"/>
        <v>122.625</v>
      </c>
      <c r="AC150">
        <v>122.2</v>
      </c>
      <c r="AD150">
        <v>132.4</v>
      </c>
      <c r="AE150">
        <v>121.7</v>
      </c>
      <c r="AF150">
        <f t="shared" si="8"/>
        <v>122.30000000000001</v>
      </c>
      <c r="AG150">
        <v>122.4</v>
      </c>
      <c r="AH150">
        <v>128.19999999999999</v>
      </c>
      <c r="AI150">
        <f t="shared" si="9"/>
        <v>125.3</v>
      </c>
    </row>
    <row r="151" spans="1:35" x14ac:dyDescent="0.25">
      <c r="A151" t="s">
        <v>31</v>
      </c>
      <c r="B151">
        <v>2017</v>
      </c>
      <c r="C151" t="s">
        <v>32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 s="1">
        <f>AVERAGE(Table1[[#This Row],[Cereals and products]:[Food and beverages]])</f>
        <v>132.48461538461541</v>
      </c>
      <c r="R151">
        <v>144.4</v>
      </c>
      <c r="S151">
        <v>136.80000000000001</v>
      </c>
      <c r="T151">
        <v>130.30000000000001</v>
      </c>
      <c r="U151">
        <v>135.9</v>
      </c>
      <c r="V151" s="1">
        <f>AVERAGE(Table1[[#This Row],[Clothing]:[Clothing and footwear]])</f>
        <v>134.33333333333334</v>
      </c>
      <c r="W151">
        <v>130.5</v>
      </c>
      <c r="X151">
        <v>127.9</v>
      </c>
      <c r="Y151">
        <v>129.69999999999999</v>
      </c>
      <c r="Z151">
        <v>127.4</v>
      </c>
      <c r="AA151">
        <v>117.4</v>
      </c>
      <c r="AB151" s="1">
        <f t="shared" si="7"/>
        <v>126.375</v>
      </c>
      <c r="AC151">
        <v>124.6</v>
      </c>
      <c r="AD151">
        <v>133.4</v>
      </c>
      <c r="AE151">
        <v>122.6</v>
      </c>
      <c r="AF151">
        <f t="shared" si="8"/>
        <v>125</v>
      </c>
      <c r="AG151">
        <v>124.8</v>
      </c>
      <c r="AH151">
        <v>130.6</v>
      </c>
      <c r="AI151">
        <f t="shared" si="9"/>
        <v>127.69999999999999</v>
      </c>
    </row>
    <row r="152" spans="1:35" x14ac:dyDescent="0.25">
      <c r="A152" t="s">
        <v>28</v>
      </c>
      <c r="B152">
        <v>2017</v>
      </c>
      <c r="C152" t="s">
        <v>33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 s="1">
        <f>AVERAGE(Table1[[#This Row],[Cereals and products]:[Food and beverages]])</f>
        <v>132.96153846153848</v>
      </c>
      <c r="R152">
        <v>144.19999999999999</v>
      </c>
      <c r="S152">
        <v>141.6</v>
      </c>
      <c r="T152">
        <v>136.19999999999999</v>
      </c>
      <c r="U152">
        <v>140.80000000000001</v>
      </c>
      <c r="V152" s="1">
        <f>AVERAGE(Table1[[#This Row],[Clothing]:[Clothing and footwear]])</f>
        <v>139.53333333333333</v>
      </c>
      <c r="X152">
        <v>134.19999999999999</v>
      </c>
      <c r="Y152">
        <v>134.1</v>
      </c>
      <c r="Z152">
        <v>130.6</v>
      </c>
      <c r="AA152">
        <v>119.8</v>
      </c>
      <c r="AB152" s="1">
        <f t="shared" si="7"/>
        <v>129.36666666666665</v>
      </c>
      <c r="AC152">
        <v>128.30000000000001</v>
      </c>
      <c r="AD152">
        <v>135.19999999999999</v>
      </c>
      <c r="AE152">
        <v>123.3</v>
      </c>
      <c r="AF152">
        <f t="shared" si="8"/>
        <v>126.94999999999999</v>
      </c>
      <c r="AG152">
        <v>127.4</v>
      </c>
      <c r="AH152">
        <v>132.80000000000001</v>
      </c>
      <c r="AI152">
        <f t="shared" si="9"/>
        <v>130.10000000000002</v>
      </c>
    </row>
    <row r="153" spans="1:35" x14ac:dyDescent="0.25">
      <c r="A153" t="s">
        <v>30</v>
      </c>
      <c r="B153">
        <v>2017</v>
      </c>
      <c r="C153" t="s">
        <v>33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 s="1">
        <f>AVERAGE(Table1[[#This Row],[Cereals and products]:[Food and beverages]])</f>
        <v>131.2076923076923</v>
      </c>
      <c r="R153">
        <v>147.5</v>
      </c>
      <c r="S153">
        <v>130.80000000000001</v>
      </c>
      <c r="T153">
        <v>122.8</v>
      </c>
      <c r="U153">
        <v>129.6</v>
      </c>
      <c r="V153" s="1">
        <f>AVERAGE(Table1[[#This Row],[Clothing]:[Clothing and footwear]])</f>
        <v>127.73333333333335</v>
      </c>
      <c r="W153">
        <v>131.1</v>
      </c>
      <c r="X153">
        <v>120.8</v>
      </c>
      <c r="Y153">
        <v>125.6</v>
      </c>
      <c r="Z153">
        <v>123.1</v>
      </c>
      <c r="AA153">
        <v>115.6</v>
      </c>
      <c r="AB153" s="1">
        <f t="shared" si="7"/>
        <v>123.27500000000001</v>
      </c>
      <c r="AC153">
        <v>122.4</v>
      </c>
      <c r="AD153">
        <v>132.80000000000001</v>
      </c>
      <c r="AE153">
        <v>121.7</v>
      </c>
      <c r="AF153">
        <f t="shared" si="8"/>
        <v>122.4</v>
      </c>
      <c r="AG153">
        <v>122.6</v>
      </c>
      <c r="AH153">
        <v>128.69999999999999</v>
      </c>
      <c r="AI153">
        <f t="shared" si="9"/>
        <v>125.64999999999999</v>
      </c>
    </row>
    <row r="154" spans="1:35" x14ac:dyDescent="0.25">
      <c r="A154" t="s">
        <v>31</v>
      </c>
      <c r="B154">
        <v>2017</v>
      </c>
      <c r="C154" t="s">
        <v>33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 s="1">
        <f>AVERAGE(Table1[[#This Row],[Cereals and products]:[Food and beverages]])</f>
        <v>132.22307692307692</v>
      </c>
      <c r="R154">
        <v>145.1</v>
      </c>
      <c r="S154">
        <v>137.30000000000001</v>
      </c>
      <c r="T154">
        <v>130.6</v>
      </c>
      <c r="U154">
        <v>136.4</v>
      </c>
      <c r="V154" s="1">
        <f>AVERAGE(Table1[[#This Row],[Clothing]:[Clothing and footwear]])</f>
        <v>134.76666666666665</v>
      </c>
      <c r="W154">
        <v>131.1</v>
      </c>
      <c r="X154">
        <v>129.1</v>
      </c>
      <c r="Y154">
        <v>130.1</v>
      </c>
      <c r="Z154">
        <v>127.8</v>
      </c>
      <c r="AA154">
        <v>117.6</v>
      </c>
      <c r="AB154" s="1">
        <f t="shared" si="7"/>
        <v>126.97499999999999</v>
      </c>
      <c r="AC154">
        <v>125</v>
      </c>
      <c r="AD154">
        <v>133.80000000000001</v>
      </c>
      <c r="AE154">
        <v>122.6</v>
      </c>
      <c r="AF154">
        <f t="shared" si="8"/>
        <v>125.19999999999999</v>
      </c>
      <c r="AG154">
        <v>125.1</v>
      </c>
      <c r="AH154">
        <v>130.9</v>
      </c>
      <c r="AI154">
        <f t="shared" si="9"/>
        <v>128</v>
      </c>
    </row>
    <row r="155" spans="1:35" x14ac:dyDescent="0.25">
      <c r="A155" t="s">
        <v>28</v>
      </c>
      <c r="B155">
        <v>2017</v>
      </c>
      <c r="C155" t="s">
        <v>34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 s="1">
        <f>AVERAGE(Table1[[#This Row],[Cereals and products]:[Food and beverages]])</f>
        <v>132.7923076923077</v>
      </c>
      <c r="R155">
        <v>144.4</v>
      </c>
      <c r="S155">
        <v>142.4</v>
      </c>
      <c r="T155">
        <v>136.80000000000001</v>
      </c>
      <c r="U155">
        <v>141.6</v>
      </c>
      <c r="V155" s="1">
        <f>AVERAGE(Table1[[#This Row],[Clothing]:[Clothing and footwear]])</f>
        <v>140.26666666666668</v>
      </c>
      <c r="X155">
        <v>135</v>
      </c>
      <c r="Y155">
        <v>134.30000000000001</v>
      </c>
      <c r="Z155">
        <v>131</v>
      </c>
      <c r="AA155">
        <v>119.2</v>
      </c>
      <c r="AB155" s="1">
        <f t="shared" si="7"/>
        <v>129.5</v>
      </c>
      <c r="AC155">
        <v>128.30000000000001</v>
      </c>
      <c r="AD155">
        <v>135.69999999999999</v>
      </c>
      <c r="AE155">
        <v>123.7</v>
      </c>
      <c r="AF155">
        <f t="shared" si="8"/>
        <v>127.35</v>
      </c>
      <c r="AG155">
        <v>127.5</v>
      </c>
      <c r="AH155">
        <v>132.9</v>
      </c>
      <c r="AI155">
        <f t="shared" si="9"/>
        <v>130.19999999999999</v>
      </c>
    </row>
    <row r="156" spans="1:35" x14ac:dyDescent="0.25">
      <c r="A156" t="s">
        <v>30</v>
      </c>
      <c r="B156">
        <v>2017</v>
      </c>
      <c r="C156" t="s">
        <v>34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 s="1">
        <f>AVERAGE(Table1[[#This Row],[Cereals and products]:[Food and beverages]])</f>
        <v>131.3923076923077</v>
      </c>
      <c r="R156">
        <v>148</v>
      </c>
      <c r="S156">
        <v>131.19999999999999</v>
      </c>
      <c r="T156">
        <v>123</v>
      </c>
      <c r="U156">
        <v>130</v>
      </c>
      <c r="V156" s="1">
        <f>AVERAGE(Table1[[#This Row],[Clothing]:[Clothing and footwear]])</f>
        <v>128.06666666666666</v>
      </c>
      <c r="W156">
        <v>131.69999999999999</v>
      </c>
      <c r="X156">
        <v>121.4</v>
      </c>
      <c r="Y156">
        <v>126</v>
      </c>
      <c r="Z156">
        <v>123.4</v>
      </c>
      <c r="AA156">
        <v>114.3</v>
      </c>
      <c r="AB156" s="1">
        <f t="shared" si="7"/>
        <v>123.35000000000001</v>
      </c>
      <c r="AC156">
        <v>122.6</v>
      </c>
      <c r="AD156">
        <v>133.6</v>
      </c>
      <c r="AE156">
        <v>122.2</v>
      </c>
      <c r="AF156">
        <f t="shared" si="8"/>
        <v>122.80000000000001</v>
      </c>
      <c r="AG156">
        <v>122.5</v>
      </c>
      <c r="AH156">
        <v>129.1</v>
      </c>
      <c r="AI156">
        <f t="shared" si="9"/>
        <v>125.8</v>
      </c>
    </row>
    <row r="157" spans="1:35" x14ac:dyDescent="0.25">
      <c r="A157" t="s">
        <v>31</v>
      </c>
      <c r="B157">
        <v>2017</v>
      </c>
      <c r="C157" t="s">
        <v>34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 s="1">
        <f>AVERAGE(Table1[[#This Row],[Cereals and products]:[Food and beverages]])</f>
        <v>132.1846153846154</v>
      </c>
      <c r="R157">
        <v>145.4</v>
      </c>
      <c r="S157">
        <v>138</v>
      </c>
      <c r="T157">
        <v>131.1</v>
      </c>
      <c r="U157">
        <v>137</v>
      </c>
      <c r="V157" s="1">
        <f>AVERAGE(Table1[[#This Row],[Clothing]:[Clothing and footwear]])</f>
        <v>135.36666666666667</v>
      </c>
      <c r="W157">
        <v>131.69999999999999</v>
      </c>
      <c r="X157">
        <v>129.80000000000001</v>
      </c>
      <c r="Y157">
        <v>130.4</v>
      </c>
      <c r="Z157">
        <v>128.1</v>
      </c>
      <c r="AA157">
        <v>116.6</v>
      </c>
      <c r="AB157" s="1">
        <f t="shared" si="7"/>
        <v>127.125</v>
      </c>
      <c r="AC157">
        <v>125.1</v>
      </c>
      <c r="AD157">
        <v>134.5</v>
      </c>
      <c r="AE157">
        <v>123.1</v>
      </c>
      <c r="AF157">
        <f t="shared" si="8"/>
        <v>125.6</v>
      </c>
      <c r="AG157">
        <v>125.1</v>
      </c>
      <c r="AH157">
        <v>131.1</v>
      </c>
      <c r="AI157">
        <f t="shared" si="9"/>
        <v>128.1</v>
      </c>
    </row>
    <row r="158" spans="1:35" x14ac:dyDescent="0.25">
      <c r="A158" t="s">
        <v>28</v>
      </c>
      <c r="B158">
        <v>2017</v>
      </c>
      <c r="C158" t="s">
        <v>35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 s="1">
        <f>AVERAGE(Table1[[#This Row],[Cereals and products]:[Food and beverages]])</f>
        <v>132.88461538461536</v>
      </c>
      <c r="R158">
        <v>145.5</v>
      </c>
      <c r="S158">
        <v>142.5</v>
      </c>
      <c r="T158">
        <v>137.30000000000001</v>
      </c>
      <c r="U158">
        <v>141.80000000000001</v>
      </c>
      <c r="V158" s="1">
        <f>AVERAGE(Table1[[#This Row],[Clothing]:[Clothing and footwear]])</f>
        <v>140.53333333333333</v>
      </c>
      <c r="X158">
        <v>135</v>
      </c>
      <c r="Y158">
        <v>134.9</v>
      </c>
      <c r="Z158">
        <v>131.4</v>
      </c>
      <c r="AA158">
        <v>119.4</v>
      </c>
      <c r="AB158" s="1">
        <f t="shared" si="7"/>
        <v>129.76666666666665</v>
      </c>
      <c r="AC158">
        <v>129.4</v>
      </c>
      <c r="AD158">
        <v>136.30000000000001</v>
      </c>
      <c r="AE158">
        <v>123.7</v>
      </c>
      <c r="AF158">
        <f t="shared" si="8"/>
        <v>127.55000000000001</v>
      </c>
      <c r="AG158">
        <v>127.9</v>
      </c>
      <c r="AH158">
        <v>133.30000000000001</v>
      </c>
      <c r="AI158">
        <f t="shared" si="9"/>
        <v>130.60000000000002</v>
      </c>
    </row>
    <row r="159" spans="1:35" x14ac:dyDescent="0.25">
      <c r="A159" t="s">
        <v>30</v>
      </c>
      <c r="B159">
        <v>2017</v>
      </c>
      <c r="C159" t="s">
        <v>35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 s="1">
        <f>AVERAGE(Table1[[#This Row],[Cereals and products]:[Food and beverages]])</f>
        <v>131.50769230769231</v>
      </c>
      <c r="R159">
        <v>148.30000000000001</v>
      </c>
      <c r="S159">
        <v>131.5</v>
      </c>
      <c r="T159">
        <v>123.2</v>
      </c>
      <c r="U159">
        <v>130.19999999999999</v>
      </c>
      <c r="V159" s="1">
        <f>AVERAGE(Table1[[#This Row],[Clothing]:[Clothing and footwear]])</f>
        <v>128.29999999999998</v>
      </c>
      <c r="W159">
        <v>132.1</v>
      </c>
      <c r="X159">
        <v>120.1</v>
      </c>
      <c r="Y159">
        <v>126.5</v>
      </c>
      <c r="Z159">
        <v>123.6</v>
      </c>
      <c r="AA159">
        <v>114.3</v>
      </c>
      <c r="AB159" s="1">
        <f t="shared" si="7"/>
        <v>123.25</v>
      </c>
      <c r="AC159">
        <v>122.8</v>
      </c>
      <c r="AD159">
        <v>133.80000000000001</v>
      </c>
      <c r="AE159">
        <v>122</v>
      </c>
      <c r="AF159">
        <f t="shared" si="8"/>
        <v>122.8</v>
      </c>
      <c r="AG159">
        <v>122.6</v>
      </c>
      <c r="AH159">
        <v>129.30000000000001</v>
      </c>
      <c r="AI159">
        <f t="shared" si="9"/>
        <v>125.95</v>
      </c>
    </row>
    <row r="160" spans="1:35" x14ac:dyDescent="0.25">
      <c r="A160" t="s">
        <v>31</v>
      </c>
      <c r="B160">
        <v>2017</v>
      </c>
      <c r="C160" t="s">
        <v>35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 s="1">
        <f>AVERAGE(Table1[[#This Row],[Cereals and products]:[Food and beverages]])</f>
        <v>132.27692307692308</v>
      </c>
      <c r="R160">
        <v>146.19999999999999</v>
      </c>
      <c r="S160">
        <v>138.19999999999999</v>
      </c>
      <c r="T160">
        <v>131.4</v>
      </c>
      <c r="U160">
        <v>137.19999999999999</v>
      </c>
      <c r="V160" s="1">
        <f>AVERAGE(Table1[[#This Row],[Clothing]:[Clothing and footwear]])</f>
        <v>135.6</v>
      </c>
      <c r="W160">
        <v>132.1</v>
      </c>
      <c r="X160">
        <v>129.4</v>
      </c>
      <c r="Y160">
        <v>130.9</v>
      </c>
      <c r="Z160">
        <v>128.4</v>
      </c>
      <c r="AA160">
        <v>116.7</v>
      </c>
      <c r="AB160" s="1">
        <f t="shared" si="7"/>
        <v>127.27499999999999</v>
      </c>
      <c r="AC160">
        <v>125.7</v>
      </c>
      <c r="AD160">
        <v>134.80000000000001</v>
      </c>
      <c r="AE160">
        <v>123</v>
      </c>
      <c r="AF160">
        <f t="shared" si="8"/>
        <v>125.7</v>
      </c>
      <c r="AG160">
        <v>125.3</v>
      </c>
      <c r="AH160">
        <v>131.4</v>
      </c>
      <c r="AI160">
        <f t="shared" si="9"/>
        <v>128.35</v>
      </c>
    </row>
    <row r="161" spans="1:35" x14ac:dyDescent="0.25">
      <c r="A161" t="s">
        <v>28</v>
      </c>
      <c r="B161">
        <v>2017</v>
      </c>
      <c r="C161" t="s">
        <v>36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 s="1">
        <f>AVERAGE(Table1[[#This Row],[Cereals and products]:[Food and beverages]])</f>
        <v>133.75384615384615</v>
      </c>
      <c r="R161">
        <v>145.80000000000001</v>
      </c>
      <c r="S161">
        <v>143.1</v>
      </c>
      <c r="T161">
        <v>137.69999999999999</v>
      </c>
      <c r="U161">
        <v>142.30000000000001</v>
      </c>
      <c r="V161" s="1">
        <f>AVERAGE(Table1[[#This Row],[Clothing]:[Clothing and footwear]])</f>
        <v>141.03333333333333</v>
      </c>
      <c r="X161">
        <v>134.80000000000001</v>
      </c>
      <c r="Y161">
        <v>135.19999999999999</v>
      </c>
      <c r="Z161">
        <v>131.30000000000001</v>
      </c>
      <c r="AA161">
        <v>119.4</v>
      </c>
      <c r="AB161" s="1">
        <f t="shared" si="7"/>
        <v>129.79999999999998</v>
      </c>
      <c r="AC161">
        <v>129.80000000000001</v>
      </c>
      <c r="AD161">
        <v>136.9</v>
      </c>
      <c r="AE161">
        <v>124.1</v>
      </c>
      <c r="AF161">
        <f t="shared" si="8"/>
        <v>127.7</v>
      </c>
      <c r="AG161">
        <v>128.1</v>
      </c>
      <c r="AH161">
        <v>133.9</v>
      </c>
      <c r="AI161">
        <f t="shared" si="9"/>
        <v>131</v>
      </c>
    </row>
    <row r="162" spans="1:35" x14ac:dyDescent="0.25">
      <c r="A162" t="s">
        <v>30</v>
      </c>
      <c r="B162">
        <v>2017</v>
      </c>
      <c r="C162" t="s">
        <v>36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 s="1">
        <f>AVERAGE(Table1[[#This Row],[Cereals and products]:[Food and beverages]])</f>
        <v>133.15384615384616</v>
      </c>
      <c r="R162">
        <v>148.6</v>
      </c>
      <c r="S162">
        <v>131.5</v>
      </c>
      <c r="T162">
        <v>123.2</v>
      </c>
      <c r="U162">
        <v>130.19999999999999</v>
      </c>
      <c r="V162" s="1">
        <f>AVERAGE(Table1[[#This Row],[Clothing]:[Clothing and footwear]])</f>
        <v>128.29999999999998</v>
      </c>
      <c r="W162">
        <v>131.4</v>
      </c>
      <c r="X162">
        <v>119</v>
      </c>
      <c r="Y162">
        <v>126.8</v>
      </c>
      <c r="Z162">
        <v>123.8</v>
      </c>
      <c r="AA162">
        <v>113.9</v>
      </c>
      <c r="AB162" s="1">
        <f t="shared" si="7"/>
        <v>122.77500000000001</v>
      </c>
      <c r="AC162">
        <v>122.9</v>
      </c>
      <c r="AD162">
        <v>134.30000000000001</v>
      </c>
      <c r="AE162">
        <v>122.5</v>
      </c>
      <c r="AF162">
        <f t="shared" si="8"/>
        <v>123.15</v>
      </c>
      <c r="AG162">
        <v>122.7</v>
      </c>
      <c r="AH162">
        <v>129.9</v>
      </c>
      <c r="AI162">
        <f t="shared" si="9"/>
        <v>126.30000000000001</v>
      </c>
    </row>
    <row r="163" spans="1:35" x14ac:dyDescent="0.25">
      <c r="A163" t="s">
        <v>31</v>
      </c>
      <c r="B163">
        <v>2017</v>
      </c>
      <c r="C163" t="s">
        <v>36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 s="1">
        <f>AVERAGE(Table1[[#This Row],[Cereals and products]:[Food and beverages]])</f>
        <v>133.43846153846155</v>
      </c>
      <c r="R163">
        <v>146.5</v>
      </c>
      <c r="S163">
        <v>138.5</v>
      </c>
      <c r="T163">
        <v>131.69999999999999</v>
      </c>
      <c r="U163">
        <v>137.5</v>
      </c>
      <c r="V163" s="1">
        <f>AVERAGE(Table1[[#This Row],[Clothing]:[Clothing and footwear]])</f>
        <v>135.9</v>
      </c>
      <c r="W163">
        <v>131.4</v>
      </c>
      <c r="X163">
        <v>128.80000000000001</v>
      </c>
      <c r="Y163">
        <v>131.19999999999999</v>
      </c>
      <c r="Z163">
        <v>128.5</v>
      </c>
      <c r="AA163">
        <v>116.5</v>
      </c>
      <c r="AB163" s="1">
        <f t="shared" si="7"/>
        <v>126.97500000000001</v>
      </c>
      <c r="AC163">
        <v>125.9</v>
      </c>
      <c r="AD163">
        <v>135.4</v>
      </c>
      <c r="AE163">
        <v>123.4</v>
      </c>
      <c r="AF163">
        <f t="shared" si="8"/>
        <v>125.95</v>
      </c>
      <c r="AG163">
        <v>125.5</v>
      </c>
      <c r="AH163">
        <v>132</v>
      </c>
      <c r="AI163">
        <f t="shared" si="9"/>
        <v>128.75</v>
      </c>
    </row>
    <row r="164" spans="1:35" x14ac:dyDescent="0.25">
      <c r="A164" t="s">
        <v>28</v>
      </c>
      <c r="B164">
        <v>2017</v>
      </c>
      <c r="C164" t="s">
        <v>37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 s="1">
        <f>AVERAGE(Table1[[#This Row],[Cereals and products]:[Food and beverages]])</f>
        <v>136.37692307692308</v>
      </c>
      <c r="R164">
        <v>147.4</v>
      </c>
      <c r="S164">
        <v>144.30000000000001</v>
      </c>
      <c r="T164">
        <v>138.1</v>
      </c>
      <c r="U164">
        <v>143.5</v>
      </c>
      <c r="V164" s="1">
        <f>AVERAGE(Table1[[#This Row],[Clothing]:[Clothing and footwear]])</f>
        <v>141.96666666666667</v>
      </c>
      <c r="X164">
        <v>135.30000000000001</v>
      </c>
      <c r="Y164">
        <v>136.1</v>
      </c>
      <c r="Z164">
        <v>132.1</v>
      </c>
      <c r="AA164">
        <v>119.1</v>
      </c>
      <c r="AB164" s="1">
        <f t="shared" si="7"/>
        <v>130.16666666666666</v>
      </c>
      <c r="AC164">
        <v>130.6</v>
      </c>
      <c r="AD164">
        <v>138.6</v>
      </c>
      <c r="AE164">
        <v>124.4</v>
      </c>
      <c r="AF164">
        <f t="shared" si="8"/>
        <v>128.25</v>
      </c>
      <c r="AG164">
        <v>128.6</v>
      </c>
      <c r="AH164">
        <v>136.19999999999999</v>
      </c>
      <c r="AI164">
        <f t="shared" si="9"/>
        <v>132.39999999999998</v>
      </c>
    </row>
    <row r="165" spans="1:35" x14ac:dyDescent="0.25">
      <c r="A165" t="s">
        <v>30</v>
      </c>
      <c r="B165">
        <v>2017</v>
      </c>
      <c r="C165" t="s">
        <v>37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 s="1">
        <f>AVERAGE(Table1[[#This Row],[Cereals and products]:[Food and beverages]])</f>
        <v>136.00769230769231</v>
      </c>
      <c r="R165">
        <v>150.5</v>
      </c>
      <c r="S165">
        <v>131.6</v>
      </c>
      <c r="T165">
        <v>123.7</v>
      </c>
      <c r="U165">
        <v>130.4</v>
      </c>
      <c r="V165" s="1">
        <f>AVERAGE(Table1[[#This Row],[Clothing]:[Clothing and footwear]])</f>
        <v>128.56666666666669</v>
      </c>
      <c r="W165">
        <v>132.6</v>
      </c>
      <c r="X165">
        <v>119.7</v>
      </c>
      <c r="Y165">
        <v>127.2</v>
      </c>
      <c r="Z165">
        <v>125</v>
      </c>
      <c r="AA165">
        <v>113.2</v>
      </c>
      <c r="AB165" s="1">
        <f t="shared" si="7"/>
        <v>123.175</v>
      </c>
      <c r="AC165">
        <v>123.5</v>
      </c>
      <c r="AD165">
        <v>135.5</v>
      </c>
      <c r="AE165">
        <v>122.4</v>
      </c>
      <c r="AF165">
        <f t="shared" si="8"/>
        <v>123.7</v>
      </c>
      <c r="AG165">
        <v>123</v>
      </c>
      <c r="AH165">
        <v>131.80000000000001</v>
      </c>
      <c r="AI165">
        <f t="shared" si="9"/>
        <v>127.4</v>
      </c>
    </row>
    <row r="166" spans="1:35" x14ac:dyDescent="0.25">
      <c r="A166" t="s">
        <v>31</v>
      </c>
      <c r="B166">
        <v>2017</v>
      </c>
      <c r="C166" t="s">
        <v>37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 s="1">
        <f>AVERAGE(Table1[[#This Row],[Cereals and products]:[Food and beverages]])</f>
        <v>136.1076923076923</v>
      </c>
      <c r="R166">
        <v>148.19999999999999</v>
      </c>
      <c r="S166">
        <v>139.30000000000001</v>
      </c>
      <c r="T166">
        <v>132.1</v>
      </c>
      <c r="U166">
        <v>138.30000000000001</v>
      </c>
      <c r="V166" s="1">
        <f>AVERAGE(Table1[[#This Row],[Clothing]:[Clothing and footwear]])</f>
        <v>136.56666666666666</v>
      </c>
      <c r="W166">
        <v>132.6</v>
      </c>
      <c r="X166">
        <v>129.4</v>
      </c>
      <c r="Y166">
        <v>131.9</v>
      </c>
      <c r="Z166">
        <v>129.4</v>
      </c>
      <c r="AA166">
        <v>116</v>
      </c>
      <c r="AB166" s="1">
        <f t="shared" si="7"/>
        <v>127.47499999999999</v>
      </c>
      <c r="AC166">
        <v>126.6</v>
      </c>
      <c r="AD166">
        <v>136.80000000000001</v>
      </c>
      <c r="AE166">
        <v>123.6</v>
      </c>
      <c r="AF166">
        <f t="shared" si="8"/>
        <v>126.5</v>
      </c>
      <c r="AG166">
        <v>125.9</v>
      </c>
      <c r="AH166">
        <v>134.19999999999999</v>
      </c>
      <c r="AI166">
        <f t="shared" si="9"/>
        <v>130.05000000000001</v>
      </c>
    </row>
    <row r="167" spans="1:35" x14ac:dyDescent="0.25">
      <c r="A167" t="s">
        <v>28</v>
      </c>
      <c r="B167">
        <v>2017</v>
      </c>
      <c r="C167" t="s">
        <v>38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 s="1">
        <f>AVERAGE(Table1[[#This Row],[Cereals and products]:[Food and beverages]])</f>
        <v>137.88461538461536</v>
      </c>
      <c r="R167">
        <v>149</v>
      </c>
      <c r="S167">
        <v>145.30000000000001</v>
      </c>
      <c r="T167">
        <v>139.19999999999999</v>
      </c>
      <c r="U167">
        <v>144.5</v>
      </c>
      <c r="V167" s="1">
        <f>AVERAGE(Table1[[#This Row],[Clothing]:[Clothing and footwear]])</f>
        <v>143</v>
      </c>
      <c r="X167">
        <v>136.4</v>
      </c>
      <c r="Y167">
        <v>137.30000000000001</v>
      </c>
      <c r="Z167">
        <v>133</v>
      </c>
      <c r="AA167">
        <v>120.3</v>
      </c>
      <c r="AB167" s="1">
        <f t="shared" si="7"/>
        <v>131.33333333333334</v>
      </c>
      <c r="AC167">
        <v>131.5</v>
      </c>
      <c r="AD167">
        <v>140.19999999999999</v>
      </c>
      <c r="AE167">
        <v>125.4</v>
      </c>
      <c r="AF167">
        <f t="shared" si="8"/>
        <v>129.19999999999999</v>
      </c>
      <c r="AG167">
        <v>129.69999999999999</v>
      </c>
      <c r="AH167">
        <v>137.80000000000001</v>
      </c>
      <c r="AI167">
        <f t="shared" si="9"/>
        <v>133.75</v>
      </c>
    </row>
    <row r="168" spans="1:35" x14ac:dyDescent="0.25">
      <c r="A168" t="s">
        <v>30</v>
      </c>
      <c r="B168">
        <v>2017</v>
      </c>
      <c r="C168" t="s">
        <v>38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 s="1">
        <f>AVERAGE(Table1[[#This Row],[Cereals and products]:[Food and beverages]])</f>
        <v>136.38461538461536</v>
      </c>
      <c r="R168">
        <v>152.1</v>
      </c>
      <c r="S168">
        <v>132.69999999999999</v>
      </c>
      <c r="T168">
        <v>124.3</v>
      </c>
      <c r="U168">
        <v>131.4</v>
      </c>
      <c r="V168" s="1">
        <f>AVERAGE(Table1[[#This Row],[Clothing]:[Clothing and footwear]])</f>
        <v>129.46666666666667</v>
      </c>
      <c r="W168">
        <v>134.4</v>
      </c>
      <c r="X168">
        <v>118.9</v>
      </c>
      <c r="Y168">
        <v>127.7</v>
      </c>
      <c r="Z168">
        <v>125.7</v>
      </c>
      <c r="AA168">
        <v>114.6</v>
      </c>
      <c r="AB168" s="1">
        <f t="shared" si="7"/>
        <v>123.9</v>
      </c>
      <c r="AC168">
        <v>124.1</v>
      </c>
      <c r="AD168">
        <v>135.69999999999999</v>
      </c>
      <c r="AE168">
        <v>123.3</v>
      </c>
      <c r="AF168">
        <f t="shared" si="8"/>
        <v>124.5</v>
      </c>
      <c r="AG168">
        <v>123.8</v>
      </c>
      <c r="AH168">
        <v>132.69999999999999</v>
      </c>
      <c r="AI168">
        <f t="shared" si="9"/>
        <v>128.25</v>
      </c>
    </row>
    <row r="169" spans="1:35" x14ac:dyDescent="0.25">
      <c r="A169" t="s">
        <v>31</v>
      </c>
      <c r="B169">
        <v>2017</v>
      </c>
      <c r="C169" t="s">
        <v>38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 s="1">
        <f>AVERAGE(Table1[[#This Row],[Cereals and products]:[Food and beverages]])</f>
        <v>137.21538461538461</v>
      </c>
      <c r="R169">
        <v>149.80000000000001</v>
      </c>
      <c r="S169">
        <v>140.30000000000001</v>
      </c>
      <c r="T169">
        <v>133</v>
      </c>
      <c r="U169">
        <v>139.30000000000001</v>
      </c>
      <c r="V169" s="1">
        <f>AVERAGE(Table1[[#This Row],[Clothing]:[Clothing and footwear]])</f>
        <v>137.53333333333333</v>
      </c>
      <c r="W169">
        <v>134.4</v>
      </c>
      <c r="X169">
        <v>129.80000000000001</v>
      </c>
      <c r="Y169">
        <v>132.80000000000001</v>
      </c>
      <c r="Z169">
        <v>130.19999999999999</v>
      </c>
      <c r="AA169">
        <v>117.3</v>
      </c>
      <c r="AB169" s="1">
        <f t="shared" si="7"/>
        <v>128.57500000000002</v>
      </c>
      <c r="AC169">
        <v>127.3</v>
      </c>
      <c r="AD169">
        <v>137.6</v>
      </c>
      <c r="AE169">
        <v>124.5</v>
      </c>
      <c r="AF169">
        <f t="shared" si="8"/>
        <v>127.35</v>
      </c>
      <c r="AG169">
        <v>126.8</v>
      </c>
      <c r="AH169">
        <v>135.4</v>
      </c>
      <c r="AI169">
        <f t="shared" si="9"/>
        <v>131.1</v>
      </c>
    </row>
    <row r="170" spans="1:35" x14ac:dyDescent="0.25">
      <c r="A170" t="s">
        <v>28</v>
      </c>
      <c r="B170">
        <v>2017</v>
      </c>
      <c r="C170" t="s">
        <v>39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 s="1">
        <f>AVERAGE(Table1[[#This Row],[Cereals and products]:[Food and beverages]])</f>
        <v>137.25384615384615</v>
      </c>
      <c r="R170">
        <v>149.80000000000001</v>
      </c>
      <c r="S170">
        <v>146.1</v>
      </c>
      <c r="T170">
        <v>139.69999999999999</v>
      </c>
      <c r="U170">
        <v>145.19999999999999</v>
      </c>
      <c r="V170" s="1">
        <f>AVERAGE(Table1[[#This Row],[Clothing]:[Clothing and footwear]])</f>
        <v>143.66666666666666</v>
      </c>
      <c r="X170">
        <v>137.4</v>
      </c>
      <c r="Y170">
        <v>137.9</v>
      </c>
      <c r="Z170">
        <v>133.4</v>
      </c>
      <c r="AA170">
        <v>121.2</v>
      </c>
      <c r="AB170" s="1">
        <f t="shared" si="7"/>
        <v>132.16666666666666</v>
      </c>
      <c r="AC170">
        <v>132.30000000000001</v>
      </c>
      <c r="AD170">
        <v>139.6</v>
      </c>
      <c r="AE170">
        <v>126.7</v>
      </c>
      <c r="AF170">
        <f t="shared" si="8"/>
        <v>130.05000000000001</v>
      </c>
      <c r="AG170">
        <v>130.30000000000001</v>
      </c>
      <c r="AH170">
        <v>137.6</v>
      </c>
      <c r="AI170">
        <f t="shared" si="9"/>
        <v>133.94999999999999</v>
      </c>
    </row>
    <row r="171" spans="1:35" x14ac:dyDescent="0.25">
      <c r="A171" t="s">
        <v>30</v>
      </c>
      <c r="B171">
        <v>2017</v>
      </c>
      <c r="C171" t="s">
        <v>39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 s="1">
        <f>AVERAGE(Table1[[#This Row],[Cereals and products]:[Food and beverages]])</f>
        <v>134.59230769230768</v>
      </c>
      <c r="R171">
        <v>153.6</v>
      </c>
      <c r="S171">
        <v>133.30000000000001</v>
      </c>
      <c r="T171">
        <v>124.6</v>
      </c>
      <c r="U171">
        <v>132</v>
      </c>
      <c r="V171" s="1">
        <f>AVERAGE(Table1[[#This Row],[Clothing]:[Clothing and footwear]])</f>
        <v>129.96666666666667</v>
      </c>
      <c r="W171">
        <v>135.69999999999999</v>
      </c>
      <c r="X171">
        <v>120.6</v>
      </c>
      <c r="Y171">
        <v>128.1</v>
      </c>
      <c r="Z171">
        <v>126.1</v>
      </c>
      <c r="AA171">
        <v>115.7</v>
      </c>
      <c r="AB171" s="1">
        <f t="shared" si="7"/>
        <v>125.02499999999999</v>
      </c>
      <c r="AC171">
        <v>124.5</v>
      </c>
      <c r="AD171">
        <v>135.9</v>
      </c>
      <c r="AE171">
        <v>124.4</v>
      </c>
      <c r="AF171">
        <f t="shared" si="8"/>
        <v>125.25</v>
      </c>
      <c r="AG171">
        <v>124.5</v>
      </c>
      <c r="AH171">
        <v>132.4</v>
      </c>
      <c r="AI171">
        <f t="shared" si="9"/>
        <v>128.44999999999999</v>
      </c>
    </row>
    <row r="172" spans="1:35" x14ac:dyDescent="0.25">
      <c r="A172" t="s">
        <v>31</v>
      </c>
      <c r="B172">
        <v>2017</v>
      </c>
      <c r="C172" t="s">
        <v>39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 s="1">
        <f>AVERAGE(Table1[[#This Row],[Cereals and products]:[Food and beverages]])</f>
        <v>136.15384615384613</v>
      </c>
      <c r="R172">
        <v>150.80000000000001</v>
      </c>
      <c r="S172">
        <v>141.1</v>
      </c>
      <c r="T172">
        <v>133.4</v>
      </c>
      <c r="U172">
        <v>140</v>
      </c>
      <c r="V172" s="1">
        <f>AVERAGE(Table1[[#This Row],[Clothing]:[Clothing and footwear]])</f>
        <v>138.16666666666666</v>
      </c>
      <c r="W172">
        <v>135.69999999999999</v>
      </c>
      <c r="X172">
        <v>131</v>
      </c>
      <c r="Y172">
        <v>133.30000000000001</v>
      </c>
      <c r="Z172">
        <v>130.6</v>
      </c>
      <c r="AA172">
        <v>118.3</v>
      </c>
      <c r="AB172" s="1">
        <f t="shared" si="7"/>
        <v>129.57499999999999</v>
      </c>
      <c r="AC172">
        <v>127.9</v>
      </c>
      <c r="AD172">
        <v>137.4</v>
      </c>
      <c r="AE172">
        <v>125.7</v>
      </c>
      <c r="AF172">
        <f t="shared" si="8"/>
        <v>128.15</v>
      </c>
      <c r="AG172">
        <v>127.5</v>
      </c>
      <c r="AH172">
        <v>135.19999999999999</v>
      </c>
      <c r="AI172">
        <f t="shared" si="9"/>
        <v>131.35</v>
      </c>
    </row>
    <row r="173" spans="1:35" x14ac:dyDescent="0.25">
      <c r="A173" t="s">
        <v>28</v>
      </c>
      <c r="B173">
        <v>2017</v>
      </c>
      <c r="C173" t="s">
        <v>40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 s="1">
        <f>AVERAGE(Table1[[#This Row],[Cereals and products]:[Food and beverages]])</f>
        <v>137.76153846153846</v>
      </c>
      <c r="R173">
        <v>150.5</v>
      </c>
      <c r="S173">
        <v>147.19999999999999</v>
      </c>
      <c r="T173">
        <v>140.6</v>
      </c>
      <c r="U173">
        <v>146.19999999999999</v>
      </c>
      <c r="V173" s="1">
        <f>AVERAGE(Table1[[#This Row],[Clothing]:[Clothing and footwear]])</f>
        <v>144.66666666666666</v>
      </c>
      <c r="X173">
        <v>138.1</v>
      </c>
      <c r="Y173">
        <v>138.4</v>
      </c>
      <c r="Z173">
        <v>134.19999999999999</v>
      </c>
      <c r="AA173">
        <v>121</v>
      </c>
      <c r="AB173" s="1">
        <f t="shared" si="7"/>
        <v>132.5</v>
      </c>
      <c r="AC173">
        <v>133</v>
      </c>
      <c r="AD173">
        <v>140.1</v>
      </c>
      <c r="AE173">
        <v>127.4</v>
      </c>
      <c r="AF173">
        <f t="shared" si="8"/>
        <v>130.80000000000001</v>
      </c>
      <c r="AG173">
        <v>130.69999999999999</v>
      </c>
      <c r="AH173">
        <v>138.30000000000001</v>
      </c>
      <c r="AI173">
        <f t="shared" si="9"/>
        <v>134.5</v>
      </c>
    </row>
    <row r="174" spans="1:35" x14ac:dyDescent="0.25">
      <c r="A174" t="s">
        <v>30</v>
      </c>
      <c r="B174">
        <v>2017</v>
      </c>
      <c r="C174" t="s">
        <v>40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 s="1">
        <f>AVERAGE(Table1[[#This Row],[Cereals and products]:[Food and beverages]])</f>
        <v>135.82307692307691</v>
      </c>
      <c r="R174">
        <v>154.6</v>
      </c>
      <c r="S174">
        <v>134</v>
      </c>
      <c r="T174">
        <v>124.9</v>
      </c>
      <c r="U174">
        <v>132.6</v>
      </c>
      <c r="V174" s="1">
        <f>AVERAGE(Table1[[#This Row],[Clothing]:[Clothing and footwear]])</f>
        <v>130.5</v>
      </c>
      <c r="W174">
        <v>137.30000000000001</v>
      </c>
      <c r="X174">
        <v>122.6</v>
      </c>
      <c r="Y174">
        <v>128.30000000000001</v>
      </c>
      <c r="Z174">
        <v>126.6</v>
      </c>
      <c r="AA174">
        <v>115</v>
      </c>
      <c r="AB174" s="1">
        <f t="shared" si="7"/>
        <v>125.8</v>
      </c>
      <c r="AC174">
        <v>124.8</v>
      </c>
      <c r="AD174">
        <v>136.30000000000001</v>
      </c>
      <c r="AE174">
        <v>124.6</v>
      </c>
      <c r="AF174">
        <f t="shared" si="8"/>
        <v>125.6</v>
      </c>
      <c r="AG174">
        <v>124.5</v>
      </c>
      <c r="AH174">
        <v>133.5</v>
      </c>
      <c r="AI174">
        <f t="shared" si="9"/>
        <v>129</v>
      </c>
    </row>
    <row r="175" spans="1:35" x14ac:dyDescent="0.25">
      <c r="A175" t="s">
        <v>31</v>
      </c>
      <c r="B175">
        <v>2017</v>
      </c>
      <c r="C175" t="s">
        <v>40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 s="1">
        <f>AVERAGE(Table1[[#This Row],[Cereals and products]:[Food and beverages]])</f>
        <v>136.89999999999998</v>
      </c>
      <c r="R175">
        <v>151.6</v>
      </c>
      <c r="S175">
        <v>142</v>
      </c>
      <c r="T175">
        <v>134.1</v>
      </c>
      <c r="U175">
        <v>140.80000000000001</v>
      </c>
      <c r="V175" s="1">
        <f>AVERAGE(Table1[[#This Row],[Clothing]:[Clothing and footwear]])</f>
        <v>138.96666666666667</v>
      </c>
      <c r="W175">
        <v>137.30000000000001</v>
      </c>
      <c r="X175">
        <v>132.19999999999999</v>
      </c>
      <c r="Y175">
        <v>133.6</v>
      </c>
      <c r="Z175">
        <v>131.30000000000001</v>
      </c>
      <c r="AA175">
        <v>117.8</v>
      </c>
      <c r="AB175" s="1">
        <f t="shared" si="7"/>
        <v>130.22499999999999</v>
      </c>
      <c r="AC175">
        <v>128.4</v>
      </c>
      <c r="AD175">
        <v>137.9</v>
      </c>
      <c r="AE175">
        <v>126.2</v>
      </c>
      <c r="AF175">
        <f t="shared" si="8"/>
        <v>128.75</v>
      </c>
      <c r="AG175">
        <v>127.7</v>
      </c>
      <c r="AH175">
        <v>136.1</v>
      </c>
      <c r="AI175">
        <f t="shared" si="9"/>
        <v>131.9</v>
      </c>
    </row>
    <row r="176" spans="1:35" x14ac:dyDescent="0.25">
      <c r="A176" t="s">
        <v>28</v>
      </c>
      <c r="B176">
        <v>2017</v>
      </c>
      <c r="C176" t="s">
        <v>42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 s="1">
        <f>AVERAGE(Table1[[#This Row],[Cereals and products]:[Food and beverages]])</f>
        <v>139.82307692307694</v>
      </c>
      <c r="R176">
        <v>152.1</v>
      </c>
      <c r="S176">
        <v>148.19999999999999</v>
      </c>
      <c r="T176">
        <v>141.5</v>
      </c>
      <c r="U176">
        <v>147.30000000000001</v>
      </c>
      <c r="V176" s="1">
        <f>AVERAGE(Table1[[#This Row],[Clothing]:[Clothing and footwear]])</f>
        <v>145.66666666666666</v>
      </c>
      <c r="X176">
        <v>141.1</v>
      </c>
      <c r="Y176">
        <v>139.4</v>
      </c>
      <c r="Z176">
        <v>135.80000000000001</v>
      </c>
      <c r="AA176">
        <v>121.6</v>
      </c>
      <c r="AB176" s="1">
        <f t="shared" si="7"/>
        <v>134.03333333333333</v>
      </c>
      <c r="AC176">
        <v>133.69999999999999</v>
      </c>
      <c r="AD176">
        <v>141.5</v>
      </c>
      <c r="AE176">
        <v>128.1</v>
      </c>
      <c r="AF176">
        <f t="shared" si="8"/>
        <v>131.94999999999999</v>
      </c>
      <c r="AG176">
        <v>131.69999999999999</v>
      </c>
      <c r="AH176">
        <v>140</v>
      </c>
      <c r="AI176">
        <f t="shared" si="9"/>
        <v>135.85</v>
      </c>
    </row>
    <row r="177" spans="1:35" x14ac:dyDescent="0.25">
      <c r="A177" t="s">
        <v>30</v>
      </c>
      <c r="B177">
        <v>2017</v>
      </c>
      <c r="C177" t="s">
        <v>42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 s="1">
        <f>AVERAGE(Table1[[#This Row],[Cereals and products]:[Food and beverages]])</f>
        <v>138.2076923076923</v>
      </c>
      <c r="R177">
        <v>156.19999999999999</v>
      </c>
      <c r="S177">
        <v>135</v>
      </c>
      <c r="T177">
        <v>125.4</v>
      </c>
      <c r="U177">
        <v>133.5</v>
      </c>
      <c r="V177" s="1">
        <f>AVERAGE(Table1[[#This Row],[Clothing]:[Clothing and footwear]])</f>
        <v>131.29999999999998</v>
      </c>
      <c r="W177">
        <v>138.6</v>
      </c>
      <c r="X177">
        <v>125.7</v>
      </c>
      <c r="Y177">
        <v>128.80000000000001</v>
      </c>
      <c r="Z177">
        <v>127.4</v>
      </c>
      <c r="AA177">
        <v>115.3</v>
      </c>
      <c r="AB177" s="1">
        <f t="shared" si="7"/>
        <v>127.10000000000001</v>
      </c>
      <c r="AC177">
        <v>125.1</v>
      </c>
      <c r="AD177">
        <v>136.6</v>
      </c>
      <c r="AE177">
        <v>124.9</v>
      </c>
      <c r="AF177">
        <f t="shared" si="8"/>
        <v>126.15</v>
      </c>
      <c r="AG177">
        <v>124.9</v>
      </c>
      <c r="AH177">
        <v>134.80000000000001</v>
      </c>
      <c r="AI177">
        <f t="shared" si="9"/>
        <v>129.85000000000002</v>
      </c>
    </row>
    <row r="178" spans="1:35" x14ac:dyDescent="0.25">
      <c r="A178" t="s">
        <v>31</v>
      </c>
      <c r="B178">
        <v>2017</v>
      </c>
      <c r="C178" t="s">
        <v>42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 s="1">
        <f>AVERAGE(Table1[[#This Row],[Cereals and products]:[Food and beverages]])</f>
        <v>139.09230769230768</v>
      </c>
      <c r="R178">
        <v>153.19999999999999</v>
      </c>
      <c r="S178">
        <v>143</v>
      </c>
      <c r="T178">
        <v>134.80000000000001</v>
      </c>
      <c r="U178">
        <v>141.80000000000001</v>
      </c>
      <c r="V178" s="1">
        <f>AVERAGE(Table1[[#This Row],[Clothing]:[Clothing and footwear]])</f>
        <v>139.86666666666667</v>
      </c>
      <c r="W178">
        <v>138.6</v>
      </c>
      <c r="X178">
        <v>135.30000000000001</v>
      </c>
      <c r="Y178">
        <v>134.4</v>
      </c>
      <c r="Z178">
        <v>132.6</v>
      </c>
      <c r="AA178">
        <v>118.3</v>
      </c>
      <c r="AB178" s="1">
        <f t="shared" si="7"/>
        <v>131.64999999999998</v>
      </c>
      <c r="AC178">
        <v>128.9</v>
      </c>
      <c r="AD178">
        <v>138.6</v>
      </c>
      <c r="AE178">
        <v>126.8</v>
      </c>
      <c r="AF178">
        <f t="shared" si="8"/>
        <v>129.69999999999999</v>
      </c>
      <c r="AG178">
        <v>128.4</v>
      </c>
      <c r="AH178">
        <v>137.6</v>
      </c>
      <c r="AI178">
        <f t="shared" si="9"/>
        <v>133</v>
      </c>
    </row>
    <row r="179" spans="1:35" x14ac:dyDescent="0.25">
      <c r="A179" t="s">
        <v>28</v>
      </c>
      <c r="B179">
        <v>2017</v>
      </c>
      <c r="C179" t="s">
        <v>43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 s="1">
        <f>AVERAGE(Table1[[#This Row],[Cereals and products]:[Food and beverages]])</f>
        <v>139.50769230769231</v>
      </c>
      <c r="R179">
        <v>153.19999999999999</v>
      </c>
      <c r="S179">
        <v>148</v>
      </c>
      <c r="T179">
        <v>141.9</v>
      </c>
      <c r="U179">
        <v>147.19999999999999</v>
      </c>
      <c r="V179" s="1">
        <f>AVERAGE(Table1[[#This Row],[Clothing]:[Clothing and footwear]])</f>
        <v>145.69999999999999</v>
      </c>
      <c r="X179">
        <v>142.6</v>
      </c>
      <c r="Y179">
        <v>139.5</v>
      </c>
      <c r="Z179">
        <v>136.1</v>
      </c>
      <c r="AA179">
        <v>122</v>
      </c>
      <c r="AB179" s="1">
        <f t="shared" si="7"/>
        <v>134.70000000000002</v>
      </c>
      <c r="AC179">
        <v>133.4</v>
      </c>
      <c r="AD179">
        <v>141.1</v>
      </c>
      <c r="AE179">
        <v>127.8</v>
      </c>
      <c r="AF179">
        <f t="shared" si="8"/>
        <v>131.94999999999999</v>
      </c>
      <c r="AG179">
        <v>131.9</v>
      </c>
      <c r="AH179">
        <v>139.80000000000001</v>
      </c>
      <c r="AI179">
        <f t="shared" si="9"/>
        <v>135.85000000000002</v>
      </c>
    </row>
    <row r="180" spans="1:35" x14ac:dyDescent="0.25">
      <c r="A180" t="s">
        <v>30</v>
      </c>
      <c r="B180">
        <v>2017</v>
      </c>
      <c r="C180" t="s">
        <v>43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 s="1">
        <f>AVERAGE(Table1[[#This Row],[Cereals and products]:[Food and beverages]])</f>
        <v>135.96153846153845</v>
      </c>
      <c r="R180">
        <v>157</v>
      </c>
      <c r="S180">
        <v>135.6</v>
      </c>
      <c r="T180">
        <v>125.6</v>
      </c>
      <c r="U180">
        <v>134</v>
      </c>
      <c r="V180" s="1">
        <f>AVERAGE(Table1[[#This Row],[Clothing]:[Clothing and footwear]])</f>
        <v>131.73333333333332</v>
      </c>
      <c r="W180">
        <v>139.1</v>
      </c>
      <c r="X180">
        <v>126.8</v>
      </c>
      <c r="Y180">
        <v>129.30000000000001</v>
      </c>
      <c r="Z180">
        <v>128.19999999999999</v>
      </c>
      <c r="AA180">
        <v>115.3</v>
      </c>
      <c r="AB180" s="1">
        <f t="shared" si="7"/>
        <v>127.625</v>
      </c>
      <c r="AC180">
        <v>125.6</v>
      </c>
      <c r="AD180">
        <v>136.69999999999999</v>
      </c>
      <c r="AE180">
        <v>124.6</v>
      </c>
      <c r="AF180">
        <f t="shared" si="8"/>
        <v>126.39999999999999</v>
      </c>
      <c r="AG180">
        <v>125.1</v>
      </c>
      <c r="AH180">
        <v>134.1</v>
      </c>
      <c r="AI180">
        <f t="shared" si="9"/>
        <v>129.6</v>
      </c>
    </row>
    <row r="181" spans="1:35" x14ac:dyDescent="0.25">
      <c r="A181" t="s">
        <v>31</v>
      </c>
      <c r="B181">
        <v>2017</v>
      </c>
      <c r="C181" t="s">
        <v>43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 s="1">
        <f>AVERAGE(Table1[[#This Row],[Cereals and products]:[Food and beverages]])</f>
        <v>138.07692307692307</v>
      </c>
      <c r="R181">
        <v>154.19999999999999</v>
      </c>
      <c r="S181">
        <v>143.1</v>
      </c>
      <c r="T181">
        <v>135.1</v>
      </c>
      <c r="U181">
        <v>142</v>
      </c>
      <c r="V181" s="1">
        <f>AVERAGE(Table1[[#This Row],[Clothing]:[Clothing and footwear]])</f>
        <v>140.06666666666666</v>
      </c>
      <c r="W181">
        <v>139.1</v>
      </c>
      <c r="X181">
        <v>136.6</v>
      </c>
      <c r="Y181">
        <v>134.69999999999999</v>
      </c>
      <c r="Z181">
        <v>133.1</v>
      </c>
      <c r="AA181">
        <v>118.5</v>
      </c>
      <c r="AB181" s="1">
        <f t="shared" si="7"/>
        <v>132.22499999999999</v>
      </c>
      <c r="AC181">
        <v>129</v>
      </c>
      <c r="AD181">
        <v>138.5</v>
      </c>
      <c r="AE181">
        <v>126.5</v>
      </c>
      <c r="AF181">
        <f t="shared" si="8"/>
        <v>129.80000000000001</v>
      </c>
      <c r="AG181">
        <v>128.6</v>
      </c>
      <c r="AH181">
        <v>137.19999999999999</v>
      </c>
      <c r="AI181">
        <f t="shared" si="9"/>
        <v>132.89999999999998</v>
      </c>
    </row>
    <row r="182" spans="1:35" x14ac:dyDescent="0.25">
      <c r="A182" t="s">
        <v>28</v>
      </c>
      <c r="B182">
        <v>2018</v>
      </c>
      <c r="C182" t="s">
        <v>29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 s="1">
        <f>AVERAGE(Table1[[#This Row],[Cereals and products]:[Food and beverages]])</f>
        <v>138.51538461538462</v>
      </c>
      <c r="R182">
        <v>153.6</v>
      </c>
      <c r="S182">
        <v>148.30000000000001</v>
      </c>
      <c r="T182">
        <v>142.30000000000001</v>
      </c>
      <c r="U182">
        <v>147.5</v>
      </c>
      <c r="V182" s="1">
        <f>AVERAGE(Table1[[#This Row],[Clothing]:[Clothing and footwear]])</f>
        <v>146.03333333333333</v>
      </c>
      <c r="X182">
        <v>142.30000000000001</v>
      </c>
      <c r="Y182">
        <v>139.80000000000001</v>
      </c>
      <c r="Z182">
        <v>136</v>
      </c>
      <c r="AA182">
        <v>122.7</v>
      </c>
      <c r="AB182" s="1">
        <f t="shared" si="7"/>
        <v>134.93333333333334</v>
      </c>
      <c r="AC182">
        <v>134.30000000000001</v>
      </c>
      <c r="AD182">
        <v>141.6</v>
      </c>
      <c r="AE182">
        <v>128.6</v>
      </c>
      <c r="AF182">
        <f t="shared" si="8"/>
        <v>132.30000000000001</v>
      </c>
      <c r="AG182">
        <v>132.30000000000001</v>
      </c>
      <c r="AH182">
        <v>139.30000000000001</v>
      </c>
      <c r="AI182">
        <f t="shared" si="9"/>
        <v>135.80000000000001</v>
      </c>
    </row>
    <row r="183" spans="1:35" x14ac:dyDescent="0.25">
      <c r="A183" t="s">
        <v>30</v>
      </c>
      <c r="B183">
        <v>2018</v>
      </c>
      <c r="C183" t="s">
        <v>29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 s="1">
        <f>AVERAGE(Table1[[#This Row],[Cereals and products]:[Food and beverages]])</f>
        <v>134.48461538461541</v>
      </c>
      <c r="R183">
        <v>157.69999999999999</v>
      </c>
      <c r="S183">
        <v>136</v>
      </c>
      <c r="T183">
        <v>125.9</v>
      </c>
      <c r="U183">
        <v>134.4</v>
      </c>
      <c r="V183" s="1">
        <f>AVERAGE(Table1[[#This Row],[Clothing]:[Clothing and footwear]])</f>
        <v>132.1</v>
      </c>
      <c r="W183">
        <v>140.4</v>
      </c>
      <c r="X183">
        <v>127.3</v>
      </c>
      <c r="Y183">
        <v>129.5</v>
      </c>
      <c r="Z183">
        <v>129</v>
      </c>
      <c r="AA183">
        <v>116.3</v>
      </c>
      <c r="AB183" s="1">
        <f t="shared" si="7"/>
        <v>128.375</v>
      </c>
      <c r="AC183">
        <v>126.2</v>
      </c>
      <c r="AD183">
        <v>137.1</v>
      </c>
      <c r="AE183">
        <v>125.5</v>
      </c>
      <c r="AF183">
        <f t="shared" si="8"/>
        <v>127.25</v>
      </c>
      <c r="AG183">
        <v>125.8</v>
      </c>
      <c r="AH183">
        <v>134.1</v>
      </c>
      <c r="AI183">
        <f t="shared" si="9"/>
        <v>129.94999999999999</v>
      </c>
    </row>
    <row r="184" spans="1:35" x14ac:dyDescent="0.25">
      <c r="A184" t="s">
        <v>31</v>
      </c>
      <c r="B184">
        <v>2018</v>
      </c>
      <c r="C184" t="s">
        <v>29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 s="1">
        <f>AVERAGE(Table1[[#This Row],[Cereals and products]:[Food and beverages]])</f>
        <v>136.91538461538462</v>
      </c>
      <c r="R184">
        <v>154.69999999999999</v>
      </c>
      <c r="S184">
        <v>143.5</v>
      </c>
      <c r="T184">
        <v>135.5</v>
      </c>
      <c r="U184">
        <v>142.30000000000001</v>
      </c>
      <c r="V184" s="1">
        <f>AVERAGE(Table1[[#This Row],[Clothing]:[Clothing and footwear]])</f>
        <v>140.43333333333334</v>
      </c>
      <c r="W184">
        <v>140.4</v>
      </c>
      <c r="X184">
        <v>136.6</v>
      </c>
      <c r="Y184">
        <v>134.9</v>
      </c>
      <c r="Z184">
        <v>133.30000000000001</v>
      </c>
      <c r="AA184">
        <v>119.3</v>
      </c>
      <c r="AB184" s="1">
        <f t="shared" si="7"/>
        <v>132.79999999999998</v>
      </c>
      <c r="AC184">
        <v>129.69999999999999</v>
      </c>
      <c r="AD184">
        <v>139</v>
      </c>
      <c r="AE184">
        <v>127.3</v>
      </c>
      <c r="AF184">
        <f t="shared" si="8"/>
        <v>130.30000000000001</v>
      </c>
      <c r="AG184">
        <v>129.1</v>
      </c>
      <c r="AH184">
        <v>136.9</v>
      </c>
      <c r="AI184">
        <f t="shared" si="9"/>
        <v>133</v>
      </c>
    </row>
    <row r="185" spans="1:35" x14ac:dyDescent="0.25">
      <c r="A185" t="s">
        <v>28</v>
      </c>
      <c r="B185">
        <v>2018</v>
      </c>
      <c r="C185" t="s">
        <v>32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 s="1">
        <f>AVERAGE(Table1[[#This Row],[Cereals and products]:[Food and beverages]])</f>
        <v>137.03846153846155</v>
      </c>
      <c r="R185">
        <v>153.30000000000001</v>
      </c>
      <c r="S185">
        <v>148.69999999999999</v>
      </c>
      <c r="T185">
        <v>142.4</v>
      </c>
      <c r="U185">
        <v>147.80000000000001</v>
      </c>
      <c r="V185" s="1">
        <f>AVERAGE(Table1[[#This Row],[Clothing]:[Clothing and footwear]])</f>
        <v>146.30000000000001</v>
      </c>
      <c r="X185">
        <v>142.4</v>
      </c>
      <c r="Y185">
        <v>139.9</v>
      </c>
      <c r="Z185">
        <v>136.19999999999999</v>
      </c>
      <c r="AA185">
        <v>123.3</v>
      </c>
      <c r="AB185" s="1">
        <f t="shared" si="7"/>
        <v>135.20000000000002</v>
      </c>
      <c r="AC185">
        <v>134.30000000000001</v>
      </c>
      <c r="AD185">
        <v>141.5</v>
      </c>
      <c r="AE185">
        <v>128.80000000000001</v>
      </c>
      <c r="AF185">
        <f t="shared" si="8"/>
        <v>132.5</v>
      </c>
      <c r="AG185">
        <v>132.5</v>
      </c>
      <c r="AH185">
        <v>138.5</v>
      </c>
      <c r="AI185">
        <f t="shared" si="9"/>
        <v>135.5</v>
      </c>
    </row>
    <row r="186" spans="1:35" x14ac:dyDescent="0.25">
      <c r="A186" t="s">
        <v>30</v>
      </c>
      <c r="B186">
        <v>2018</v>
      </c>
      <c r="C186" t="s">
        <v>32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 s="1">
        <f>AVERAGE(Table1[[#This Row],[Cereals and products]:[Food and beverages]])</f>
        <v>132.91538461538462</v>
      </c>
      <c r="R186">
        <v>159.30000000000001</v>
      </c>
      <c r="S186">
        <v>136.30000000000001</v>
      </c>
      <c r="T186">
        <v>126.1</v>
      </c>
      <c r="U186">
        <v>134.69999999999999</v>
      </c>
      <c r="V186" s="1">
        <f>AVERAGE(Table1[[#This Row],[Clothing]:[Clothing and footwear]])</f>
        <v>132.36666666666665</v>
      </c>
      <c r="W186">
        <v>141.30000000000001</v>
      </c>
      <c r="X186">
        <v>127.3</v>
      </c>
      <c r="Y186">
        <v>129.9</v>
      </c>
      <c r="Z186">
        <v>129.80000000000001</v>
      </c>
      <c r="AA186">
        <v>117.4</v>
      </c>
      <c r="AB186" s="1">
        <f t="shared" si="7"/>
        <v>128.97499999999999</v>
      </c>
      <c r="AC186">
        <v>126.5</v>
      </c>
      <c r="AD186">
        <v>137.19999999999999</v>
      </c>
      <c r="AE186">
        <v>126.2</v>
      </c>
      <c r="AF186">
        <f t="shared" si="8"/>
        <v>128</v>
      </c>
      <c r="AG186">
        <v>126.5</v>
      </c>
      <c r="AH186">
        <v>134</v>
      </c>
      <c r="AI186">
        <f t="shared" si="9"/>
        <v>130.25</v>
      </c>
    </row>
    <row r="187" spans="1:35" x14ac:dyDescent="0.25">
      <c r="A187" t="s">
        <v>31</v>
      </c>
      <c r="B187">
        <v>2018</v>
      </c>
      <c r="C187" t="s">
        <v>32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 s="1">
        <f>AVERAGE(Table1[[#This Row],[Cereals and products]:[Food and beverages]])</f>
        <v>135.4153846153846</v>
      </c>
      <c r="R187">
        <v>154.9</v>
      </c>
      <c r="S187">
        <v>143.80000000000001</v>
      </c>
      <c r="T187">
        <v>135.6</v>
      </c>
      <c r="U187">
        <v>142.6</v>
      </c>
      <c r="V187" s="1">
        <f>AVERAGE(Table1[[#This Row],[Clothing]:[Clothing and footwear]])</f>
        <v>140.66666666666666</v>
      </c>
      <c r="W187">
        <v>141.30000000000001</v>
      </c>
      <c r="X187">
        <v>136.69999999999999</v>
      </c>
      <c r="Y187">
        <v>135.19999999999999</v>
      </c>
      <c r="Z187">
        <v>133.80000000000001</v>
      </c>
      <c r="AA187">
        <v>120.2</v>
      </c>
      <c r="AB187" s="1">
        <f t="shared" si="7"/>
        <v>133.35</v>
      </c>
      <c r="AC187">
        <v>129.9</v>
      </c>
      <c r="AD187">
        <v>139</v>
      </c>
      <c r="AE187">
        <v>127.7</v>
      </c>
      <c r="AF187">
        <f t="shared" si="8"/>
        <v>130.75</v>
      </c>
      <c r="AG187">
        <v>129.6</v>
      </c>
      <c r="AH187">
        <v>136.4</v>
      </c>
      <c r="AI187">
        <f t="shared" si="9"/>
        <v>133</v>
      </c>
    </row>
    <row r="188" spans="1:35" x14ac:dyDescent="0.25">
      <c r="A188" t="s">
        <v>28</v>
      </c>
      <c r="B188">
        <v>2018</v>
      </c>
      <c r="C188" t="s">
        <v>33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 s="1">
        <f>AVERAGE(Table1[[#This Row],[Cereals and products]:[Food and beverages]])</f>
        <v>137.07692307692307</v>
      </c>
      <c r="R188">
        <v>155.1</v>
      </c>
      <c r="S188">
        <v>149.19999999999999</v>
      </c>
      <c r="T188">
        <v>143</v>
      </c>
      <c r="U188">
        <v>148.30000000000001</v>
      </c>
      <c r="V188" s="1">
        <f>AVERAGE(Table1[[#This Row],[Clothing]:[Clothing and footwear]])</f>
        <v>146.83333333333334</v>
      </c>
      <c r="X188">
        <v>142.6</v>
      </c>
      <c r="Y188">
        <v>139.9</v>
      </c>
      <c r="Z188">
        <v>136.69999999999999</v>
      </c>
      <c r="AA188">
        <v>124.6</v>
      </c>
      <c r="AB188" s="1">
        <f t="shared" si="7"/>
        <v>135.70000000000002</v>
      </c>
      <c r="AC188">
        <v>135.1</v>
      </c>
      <c r="AD188">
        <v>142.69999999999999</v>
      </c>
      <c r="AE188">
        <v>129.30000000000001</v>
      </c>
      <c r="AF188">
        <f t="shared" si="8"/>
        <v>133</v>
      </c>
      <c r="AG188">
        <v>133.30000000000001</v>
      </c>
      <c r="AH188">
        <v>138.69999999999999</v>
      </c>
      <c r="AI188">
        <f t="shared" si="9"/>
        <v>136</v>
      </c>
    </row>
    <row r="189" spans="1:35" x14ac:dyDescent="0.25">
      <c r="A189" t="s">
        <v>30</v>
      </c>
      <c r="B189">
        <v>2018</v>
      </c>
      <c r="C189" t="s">
        <v>33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 s="1">
        <f>AVERAGE(Table1[[#This Row],[Cereals and products]:[Food and beverages]])</f>
        <v>131.96153846153845</v>
      </c>
      <c r="R189">
        <v>159.69999999999999</v>
      </c>
      <c r="S189">
        <v>136.69999999999999</v>
      </c>
      <c r="T189">
        <v>126.7</v>
      </c>
      <c r="U189">
        <v>135.19999999999999</v>
      </c>
      <c r="V189" s="1">
        <f>AVERAGE(Table1[[#This Row],[Clothing]:[Clothing and footwear]])</f>
        <v>132.86666666666665</v>
      </c>
      <c r="W189">
        <v>142</v>
      </c>
      <c r="X189">
        <v>126.4</v>
      </c>
      <c r="Y189">
        <v>130.80000000000001</v>
      </c>
      <c r="Z189">
        <v>130.5</v>
      </c>
      <c r="AA189">
        <v>117.8</v>
      </c>
      <c r="AB189" s="1">
        <f t="shared" si="7"/>
        <v>129.25</v>
      </c>
      <c r="AC189">
        <v>126.8</v>
      </c>
      <c r="AD189">
        <v>137.80000000000001</v>
      </c>
      <c r="AE189">
        <v>126.7</v>
      </c>
      <c r="AF189">
        <f t="shared" si="8"/>
        <v>128.6</v>
      </c>
      <c r="AG189">
        <v>127.1</v>
      </c>
      <c r="AH189">
        <v>134</v>
      </c>
      <c r="AI189">
        <f t="shared" si="9"/>
        <v>130.55000000000001</v>
      </c>
    </row>
    <row r="190" spans="1:35" x14ac:dyDescent="0.25">
      <c r="A190" t="s">
        <v>31</v>
      </c>
      <c r="B190">
        <v>2018</v>
      </c>
      <c r="C190" t="s">
        <v>33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 s="1">
        <f>AVERAGE(Table1[[#This Row],[Cereals and products]:[Food and beverages]])</f>
        <v>135.07692307692307</v>
      </c>
      <c r="R190">
        <v>156.30000000000001</v>
      </c>
      <c r="S190">
        <v>144.30000000000001</v>
      </c>
      <c r="T190">
        <v>136.19999999999999</v>
      </c>
      <c r="U190">
        <v>143.1</v>
      </c>
      <c r="V190" s="1">
        <f>AVERAGE(Table1[[#This Row],[Clothing]:[Clothing and footwear]])</f>
        <v>141.20000000000002</v>
      </c>
      <c r="W190">
        <v>142</v>
      </c>
      <c r="X190">
        <v>136.5</v>
      </c>
      <c r="Y190">
        <v>135.6</v>
      </c>
      <c r="Z190">
        <v>134.30000000000001</v>
      </c>
      <c r="AA190">
        <v>121</v>
      </c>
      <c r="AB190" s="1">
        <f t="shared" si="7"/>
        <v>133.77500000000001</v>
      </c>
      <c r="AC190">
        <v>130.4</v>
      </c>
      <c r="AD190">
        <v>139.80000000000001</v>
      </c>
      <c r="AE190">
        <v>128.19999999999999</v>
      </c>
      <c r="AF190">
        <f t="shared" si="8"/>
        <v>131.25</v>
      </c>
      <c r="AG190">
        <v>130.30000000000001</v>
      </c>
      <c r="AH190">
        <v>136.5</v>
      </c>
      <c r="AI190">
        <f t="shared" si="9"/>
        <v>133.4</v>
      </c>
    </row>
    <row r="191" spans="1:35" x14ac:dyDescent="0.25">
      <c r="A191" t="s">
        <v>28</v>
      </c>
      <c r="B191">
        <v>2018</v>
      </c>
      <c r="C191" t="s">
        <v>34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 s="1">
        <f>AVERAGE(Table1[[#This Row],[Cereals and products]:[Food and beverages]])</f>
        <v>136.92307692307693</v>
      </c>
      <c r="R191">
        <v>156.1</v>
      </c>
      <c r="S191">
        <v>150.1</v>
      </c>
      <c r="T191">
        <v>143.30000000000001</v>
      </c>
      <c r="U191">
        <v>149.1</v>
      </c>
      <c r="V191" s="1">
        <f>AVERAGE(Table1[[#This Row],[Clothing]:[Clothing and footwear]])</f>
        <v>147.5</v>
      </c>
      <c r="X191">
        <v>143.80000000000001</v>
      </c>
      <c r="Y191">
        <v>140.9</v>
      </c>
      <c r="Z191">
        <v>137.6</v>
      </c>
      <c r="AA191">
        <v>125.3</v>
      </c>
      <c r="AB191" s="1">
        <f t="shared" si="7"/>
        <v>136.66666666666669</v>
      </c>
      <c r="AC191">
        <v>136</v>
      </c>
      <c r="AD191">
        <v>143.69999999999999</v>
      </c>
      <c r="AE191">
        <v>130.4</v>
      </c>
      <c r="AF191">
        <f t="shared" si="8"/>
        <v>134</v>
      </c>
      <c r="AG191">
        <v>134.19999999999999</v>
      </c>
      <c r="AH191">
        <v>139.1</v>
      </c>
      <c r="AI191">
        <f t="shared" si="9"/>
        <v>136.64999999999998</v>
      </c>
    </row>
    <row r="192" spans="1:35" x14ac:dyDescent="0.25">
      <c r="A192" t="s">
        <v>30</v>
      </c>
      <c r="B192">
        <v>2018</v>
      </c>
      <c r="C192" t="s">
        <v>34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 s="1">
        <f>AVERAGE(Table1[[#This Row],[Cereals and products]:[Food and beverages]])</f>
        <v>132.30769230769232</v>
      </c>
      <c r="R192">
        <v>159.19999999999999</v>
      </c>
      <c r="S192">
        <v>137.80000000000001</v>
      </c>
      <c r="T192">
        <v>127.4</v>
      </c>
      <c r="U192">
        <v>136.19999999999999</v>
      </c>
      <c r="V192" s="1">
        <f>AVERAGE(Table1[[#This Row],[Clothing]:[Clothing and footwear]])</f>
        <v>133.80000000000001</v>
      </c>
      <c r="W192">
        <v>142.9</v>
      </c>
      <c r="X192">
        <v>124.6</v>
      </c>
      <c r="Y192">
        <v>131.80000000000001</v>
      </c>
      <c r="Z192">
        <v>131.30000000000001</v>
      </c>
      <c r="AA192">
        <v>118.9</v>
      </c>
      <c r="AB192" s="1">
        <f t="shared" si="7"/>
        <v>129.55000000000001</v>
      </c>
      <c r="AC192">
        <v>127.6</v>
      </c>
      <c r="AD192">
        <v>139.69999999999999</v>
      </c>
      <c r="AE192">
        <v>127.6</v>
      </c>
      <c r="AF192">
        <f t="shared" si="8"/>
        <v>129.44999999999999</v>
      </c>
      <c r="AG192">
        <v>128.19999999999999</v>
      </c>
      <c r="AH192">
        <v>134.80000000000001</v>
      </c>
      <c r="AI192">
        <f t="shared" si="9"/>
        <v>131.5</v>
      </c>
    </row>
    <row r="193" spans="1:35" x14ac:dyDescent="0.25">
      <c r="A193" t="s">
        <v>31</v>
      </c>
      <c r="B193">
        <v>2018</v>
      </c>
      <c r="C193" t="s">
        <v>34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 s="1">
        <f>AVERAGE(Table1[[#This Row],[Cereals and products]:[Food and beverages]])</f>
        <v>135.16153846153847</v>
      </c>
      <c r="R193">
        <v>156.9</v>
      </c>
      <c r="S193">
        <v>145.30000000000001</v>
      </c>
      <c r="T193">
        <v>136.69999999999999</v>
      </c>
      <c r="U193">
        <v>144</v>
      </c>
      <c r="V193" s="1">
        <f>AVERAGE(Table1[[#This Row],[Clothing]:[Clothing and footwear]])</f>
        <v>142</v>
      </c>
      <c r="W193">
        <v>142.9</v>
      </c>
      <c r="X193">
        <v>136.5</v>
      </c>
      <c r="Y193">
        <v>136.6</v>
      </c>
      <c r="Z193">
        <v>135.19999999999999</v>
      </c>
      <c r="AA193">
        <v>121.9</v>
      </c>
      <c r="AB193" s="1">
        <f t="shared" si="7"/>
        <v>134.47499999999999</v>
      </c>
      <c r="AC193">
        <v>131.30000000000001</v>
      </c>
      <c r="AD193">
        <v>141.4</v>
      </c>
      <c r="AE193">
        <v>129.19999999999999</v>
      </c>
      <c r="AF193">
        <f t="shared" si="8"/>
        <v>132.19999999999999</v>
      </c>
      <c r="AG193">
        <v>131.30000000000001</v>
      </c>
      <c r="AH193">
        <v>137.1</v>
      </c>
      <c r="AI193">
        <f t="shared" si="9"/>
        <v>134.19999999999999</v>
      </c>
    </row>
    <row r="194" spans="1:35" x14ac:dyDescent="0.25">
      <c r="A194" t="s">
        <v>28</v>
      </c>
      <c r="B194">
        <v>2018</v>
      </c>
      <c r="C194" t="s">
        <v>35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 s="1">
        <f>AVERAGE(Table1[[#This Row],[Cereals and products]:[Food and beverages]])</f>
        <v>137.1076923076923</v>
      </c>
      <c r="R194">
        <v>157</v>
      </c>
      <c r="S194">
        <v>150.80000000000001</v>
      </c>
      <c r="T194">
        <v>144.1</v>
      </c>
      <c r="U194">
        <v>149.80000000000001</v>
      </c>
      <c r="V194" s="1">
        <f>AVERAGE(Table1[[#This Row],[Clothing]:[Clothing and footwear]])</f>
        <v>148.23333333333332</v>
      </c>
      <c r="X194">
        <v>144.30000000000001</v>
      </c>
      <c r="Y194">
        <v>141.80000000000001</v>
      </c>
      <c r="Z194">
        <v>138.4</v>
      </c>
      <c r="AA194">
        <v>126.4</v>
      </c>
      <c r="AB194" s="1">
        <f t="shared" ref="AB194:AB257" si="10">AVERAGE(W194,X194,Y194,AA194)</f>
        <v>137.5</v>
      </c>
      <c r="AC194">
        <v>136.80000000000001</v>
      </c>
      <c r="AD194">
        <v>144.4</v>
      </c>
      <c r="AE194">
        <v>131.19999999999999</v>
      </c>
      <c r="AF194">
        <f t="shared" ref="AF194:AF257" si="11">AVERAGE(Z194,AE194)</f>
        <v>134.80000000000001</v>
      </c>
      <c r="AG194">
        <v>135.1</v>
      </c>
      <c r="AH194">
        <v>139.80000000000001</v>
      </c>
      <c r="AI194">
        <f t="shared" ref="AI194:AI257" si="12">AVERAGE(AG194,AH194)</f>
        <v>137.44999999999999</v>
      </c>
    </row>
    <row r="195" spans="1:35" x14ac:dyDescent="0.25">
      <c r="A195" t="s">
        <v>30</v>
      </c>
      <c r="B195">
        <v>2018</v>
      </c>
      <c r="C195" t="s">
        <v>35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 s="1">
        <f>AVERAGE(Table1[[#This Row],[Cereals and products]:[Food and beverages]])</f>
        <v>132.53076923076921</v>
      </c>
      <c r="R195">
        <v>160.30000000000001</v>
      </c>
      <c r="S195">
        <v>138.6</v>
      </c>
      <c r="T195">
        <v>127.9</v>
      </c>
      <c r="U195">
        <v>137</v>
      </c>
      <c r="V195" s="1">
        <f>AVERAGE(Table1[[#This Row],[Clothing]:[Clothing and footwear]])</f>
        <v>134.5</v>
      </c>
      <c r="W195">
        <v>143.19999999999999</v>
      </c>
      <c r="X195">
        <v>124.7</v>
      </c>
      <c r="Y195">
        <v>132.5</v>
      </c>
      <c r="Z195">
        <v>132</v>
      </c>
      <c r="AA195">
        <v>119.8</v>
      </c>
      <c r="AB195" s="1">
        <f t="shared" si="10"/>
        <v>130.04999999999998</v>
      </c>
      <c r="AC195">
        <v>128</v>
      </c>
      <c r="AD195">
        <v>140.4</v>
      </c>
      <c r="AE195">
        <v>128.1</v>
      </c>
      <c r="AF195">
        <f t="shared" si="11"/>
        <v>130.05000000000001</v>
      </c>
      <c r="AG195">
        <v>128.9</v>
      </c>
      <c r="AH195">
        <v>135.4</v>
      </c>
      <c r="AI195">
        <f t="shared" si="12"/>
        <v>132.15</v>
      </c>
    </row>
    <row r="196" spans="1:35" x14ac:dyDescent="0.25">
      <c r="A196" t="s">
        <v>31</v>
      </c>
      <c r="B196">
        <v>2018</v>
      </c>
      <c r="C196" t="s">
        <v>35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 s="1">
        <f>AVERAGE(Table1[[#This Row],[Cereals and products]:[Food and beverages]])</f>
        <v>135.36923076923077</v>
      </c>
      <c r="R196">
        <v>157.9</v>
      </c>
      <c r="S196">
        <v>146</v>
      </c>
      <c r="T196">
        <v>137.4</v>
      </c>
      <c r="U196">
        <v>144.69999999999999</v>
      </c>
      <c r="V196" s="1">
        <f>AVERAGE(Table1[[#This Row],[Clothing]:[Clothing and footwear]])</f>
        <v>142.69999999999999</v>
      </c>
      <c r="W196">
        <v>143.19999999999999</v>
      </c>
      <c r="X196">
        <v>136.9</v>
      </c>
      <c r="Y196">
        <v>137.4</v>
      </c>
      <c r="Z196">
        <v>136</v>
      </c>
      <c r="AA196">
        <v>122.9</v>
      </c>
      <c r="AB196" s="1">
        <f t="shared" si="10"/>
        <v>135.1</v>
      </c>
      <c r="AC196">
        <v>131.80000000000001</v>
      </c>
      <c r="AD196">
        <v>142.1</v>
      </c>
      <c r="AE196">
        <v>129.9</v>
      </c>
      <c r="AF196">
        <f t="shared" si="11"/>
        <v>132.94999999999999</v>
      </c>
      <c r="AG196">
        <v>132.1</v>
      </c>
      <c r="AH196">
        <v>137.80000000000001</v>
      </c>
      <c r="AI196">
        <f t="shared" si="12"/>
        <v>134.94999999999999</v>
      </c>
    </row>
    <row r="197" spans="1:35" x14ac:dyDescent="0.25">
      <c r="A197" t="s">
        <v>28</v>
      </c>
      <c r="B197">
        <v>2018</v>
      </c>
      <c r="C197" t="s">
        <v>36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 s="1">
        <f>AVERAGE(Table1[[#This Row],[Cereals and products]:[Food and beverages]])</f>
        <v>137.71538461538461</v>
      </c>
      <c r="R197">
        <v>157.30000000000001</v>
      </c>
      <c r="S197">
        <v>151.30000000000001</v>
      </c>
      <c r="T197">
        <v>144.69999999999999</v>
      </c>
      <c r="U197">
        <v>150.30000000000001</v>
      </c>
      <c r="V197" s="1">
        <f>AVERAGE(Table1[[#This Row],[Clothing]:[Clothing and footwear]])</f>
        <v>148.76666666666668</v>
      </c>
      <c r="X197">
        <v>145.1</v>
      </c>
      <c r="Y197">
        <v>142.19999999999999</v>
      </c>
      <c r="Z197">
        <v>138.4</v>
      </c>
      <c r="AA197">
        <v>127.4</v>
      </c>
      <c r="AB197" s="1">
        <f t="shared" si="10"/>
        <v>138.23333333333332</v>
      </c>
      <c r="AC197">
        <v>137.80000000000001</v>
      </c>
      <c r="AD197">
        <v>145.1</v>
      </c>
      <c r="AE197">
        <v>131.4</v>
      </c>
      <c r="AF197">
        <f t="shared" si="11"/>
        <v>134.9</v>
      </c>
      <c r="AG197">
        <v>135.6</v>
      </c>
      <c r="AH197">
        <v>140.5</v>
      </c>
      <c r="AI197">
        <f t="shared" si="12"/>
        <v>138.05000000000001</v>
      </c>
    </row>
    <row r="198" spans="1:35" x14ac:dyDescent="0.25">
      <c r="A198" t="s">
        <v>30</v>
      </c>
      <c r="B198">
        <v>2018</v>
      </c>
      <c r="C198" t="s">
        <v>36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 s="1">
        <f>AVERAGE(Table1[[#This Row],[Cereals and products]:[Food and beverages]])</f>
        <v>134.40769230769232</v>
      </c>
      <c r="R198">
        <v>161</v>
      </c>
      <c r="S198">
        <v>138.9</v>
      </c>
      <c r="T198">
        <v>128.69999999999999</v>
      </c>
      <c r="U198">
        <v>137.4</v>
      </c>
      <c r="V198" s="1">
        <f>AVERAGE(Table1[[#This Row],[Clothing]:[Clothing and footwear]])</f>
        <v>135</v>
      </c>
      <c r="W198">
        <v>142.5</v>
      </c>
      <c r="X198">
        <v>126.5</v>
      </c>
      <c r="Y198">
        <v>133.1</v>
      </c>
      <c r="Z198">
        <v>132.6</v>
      </c>
      <c r="AA198">
        <v>120.4</v>
      </c>
      <c r="AB198" s="1">
        <f t="shared" si="10"/>
        <v>130.625</v>
      </c>
      <c r="AC198">
        <v>128.5</v>
      </c>
      <c r="AD198">
        <v>141.19999999999999</v>
      </c>
      <c r="AE198">
        <v>128.19999999999999</v>
      </c>
      <c r="AF198">
        <f t="shared" si="11"/>
        <v>130.39999999999998</v>
      </c>
      <c r="AG198">
        <v>129.5</v>
      </c>
      <c r="AH198">
        <v>136.19999999999999</v>
      </c>
      <c r="AI198">
        <f t="shared" si="12"/>
        <v>132.85</v>
      </c>
    </row>
    <row r="199" spans="1:35" x14ac:dyDescent="0.25">
      <c r="A199" t="s">
        <v>31</v>
      </c>
      <c r="B199">
        <v>2018</v>
      </c>
      <c r="C199" t="s">
        <v>36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 s="1">
        <f>AVERAGE(Table1[[#This Row],[Cereals and products]:[Food and beverages]])</f>
        <v>136.46923076923079</v>
      </c>
      <c r="R199">
        <v>158.30000000000001</v>
      </c>
      <c r="S199">
        <v>146.4</v>
      </c>
      <c r="T199">
        <v>138.1</v>
      </c>
      <c r="U199">
        <v>145.19999999999999</v>
      </c>
      <c r="V199" s="1">
        <f>AVERAGE(Table1[[#This Row],[Clothing]:[Clothing and footwear]])</f>
        <v>143.23333333333332</v>
      </c>
      <c r="W199">
        <v>142.5</v>
      </c>
      <c r="X199">
        <v>138.1</v>
      </c>
      <c r="Y199">
        <v>137.9</v>
      </c>
      <c r="Z199">
        <v>136.19999999999999</v>
      </c>
      <c r="AA199">
        <v>123.7</v>
      </c>
      <c r="AB199" s="1">
        <f t="shared" si="10"/>
        <v>135.55000000000001</v>
      </c>
      <c r="AC199">
        <v>132.6</v>
      </c>
      <c r="AD199">
        <v>142.80000000000001</v>
      </c>
      <c r="AE199">
        <v>130.1</v>
      </c>
      <c r="AF199">
        <f t="shared" si="11"/>
        <v>133.14999999999998</v>
      </c>
      <c r="AG199">
        <v>132.6</v>
      </c>
      <c r="AH199">
        <v>138.5</v>
      </c>
      <c r="AI199">
        <f t="shared" si="12"/>
        <v>135.55000000000001</v>
      </c>
    </row>
    <row r="200" spans="1:35" x14ac:dyDescent="0.25">
      <c r="A200" t="s">
        <v>28</v>
      </c>
      <c r="B200">
        <v>2018</v>
      </c>
      <c r="C200" t="s">
        <v>37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 s="1">
        <f>AVERAGE(Table1[[#This Row],[Cereals and products]:[Food and beverages]])</f>
        <v>139.26923076923077</v>
      </c>
      <c r="R200">
        <v>156.1</v>
      </c>
      <c r="S200">
        <v>151.5</v>
      </c>
      <c r="T200">
        <v>145.1</v>
      </c>
      <c r="U200">
        <v>150.6</v>
      </c>
      <c r="V200" s="1">
        <f>AVERAGE(Table1[[#This Row],[Clothing]:[Clothing and footwear]])</f>
        <v>149.06666666666669</v>
      </c>
      <c r="X200">
        <v>146.80000000000001</v>
      </c>
      <c r="Y200">
        <v>143.1</v>
      </c>
      <c r="Z200">
        <v>139</v>
      </c>
      <c r="AA200">
        <v>127.5</v>
      </c>
      <c r="AB200" s="1">
        <f t="shared" si="10"/>
        <v>139.13333333333333</v>
      </c>
      <c r="AC200">
        <v>138.4</v>
      </c>
      <c r="AD200">
        <v>145.80000000000001</v>
      </c>
      <c r="AE200">
        <v>131.4</v>
      </c>
      <c r="AF200">
        <f t="shared" si="11"/>
        <v>135.19999999999999</v>
      </c>
      <c r="AG200">
        <v>136</v>
      </c>
      <c r="AH200">
        <v>141.80000000000001</v>
      </c>
      <c r="AI200">
        <f t="shared" si="12"/>
        <v>138.9</v>
      </c>
    </row>
    <row r="201" spans="1:35" x14ac:dyDescent="0.25">
      <c r="A201" t="s">
        <v>30</v>
      </c>
      <c r="B201">
        <v>2018</v>
      </c>
      <c r="C201" t="s">
        <v>37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 s="1">
        <f>AVERAGE(Table1[[#This Row],[Cereals and products]:[Food and beverages]])</f>
        <v>136.23846153846154</v>
      </c>
      <c r="R201">
        <v>161.4</v>
      </c>
      <c r="S201">
        <v>139.6</v>
      </c>
      <c r="T201">
        <v>128.9</v>
      </c>
      <c r="U201">
        <v>137.9</v>
      </c>
      <c r="V201" s="1">
        <f>AVERAGE(Table1[[#This Row],[Clothing]:[Clothing and footwear]])</f>
        <v>135.46666666666667</v>
      </c>
      <c r="W201">
        <v>143.6</v>
      </c>
      <c r="X201">
        <v>128.1</v>
      </c>
      <c r="Y201">
        <v>133.6</v>
      </c>
      <c r="Z201">
        <v>133.6</v>
      </c>
      <c r="AA201">
        <v>120.1</v>
      </c>
      <c r="AB201" s="1">
        <f t="shared" si="10"/>
        <v>131.35</v>
      </c>
      <c r="AC201">
        <v>129</v>
      </c>
      <c r="AD201">
        <v>144</v>
      </c>
      <c r="AE201">
        <v>128.19999999999999</v>
      </c>
      <c r="AF201">
        <f t="shared" si="11"/>
        <v>130.89999999999998</v>
      </c>
      <c r="AG201">
        <v>130.19999999999999</v>
      </c>
      <c r="AH201">
        <v>137.5</v>
      </c>
      <c r="AI201">
        <f t="shared" si="12"/>
        <v>133.85</v>
      </c>
    </row>
    <row r="202" spans="1:35" x14ac:dyDescent="0.25">
      <c r="A202" t="s">
        <v>31</v>
      </c>
      <c r="B202">
        <v>2018</v>
      </c>
      <c r="C202" t="s">
        <v>37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 s="1">
        <f>AVERAGE(Table1[[#This Row],[Cereals and products]:[Food and beverages]])</f>
        <v>138.1</v>
      </c>
      <c r="R202">
        <v>157.5</v>
      </c>
      <c r="S202">
        <v>146.80000000000001</v>
      </c>
      <c r="T202">
        <v>138.4</v>
      </c>
      <c r="U202">
        <v>145.6</v>
      </c>
      <c r="V202" s="1">
        <f>AVERAGE(Table1[[#This Row],[Clothing]:[Clothing and footwear]])</f>
        <v>143.60000000000002</v>
      </c>
      <c r="W202">
        <v>143.6</v>
      </c>
      <c r="X202">
        <v>139.69999999999999</v>
      </c>
      <c r="Y202">
        <v>138.6</v>
      </c>
      <c r="Z202">
        <v>137</v>
      </c>
      <c r="AA202">
        <v>123.6</v>
      </c>
      <c r="AB202" s="1">
        <f t="shared" si="10"/>
        <v>136.375</v>
      </c>
      <c r="AC202">
        <v>133.1</v>
      </c>
      <c r="AD202">
        <v>144.69999999999999</v>
      </c>
      <c r="AE202">
        <v>130.1</v>
      </c>
      <c r="AF202">
        <f t="shared" si="11"/>
        <v>133.55000000000001</v>
      </c>
      <c r="AG202">
        <v>133.19999999999999</v>
      </c>
      <c r="AH202">
        <v>139.80000000000001</v>
      </c>
      <c r="AI202">
        <f t="shared" si="12"/>
        <v>136.5</v>
      </c>
    </row>
    <row r="203" spans="1:35" x14ac:dyDescent="0.25">
      <c r="A203" t="s">
        <v>28</v>
      </c>
      <c r="B203">
        <v>2018</v>
      </c>
      <c r="C203" t="s">
        <v>38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 s="1">
        <f>AVERAGE(Table1[[#This Row],[Cereals and products]:[Food and beverages]])</f>
        <v>139.90769230769232</v>
      </c>
      <c r="R203">
        <v>156.4</v>
      </c>
      <c r="S203">
        <v>152.1</v>
      </c>
      <c r="T203">
        <v>145.80000000000001</v>
      </c>
      <c r="U203">
        <v>151.30000000000001</v>
      </c>
      <c r="V203" s="1">
        <f>AVERAGE(Table1[[#This Row],[Clothing]:[Clothing and footwear]])</f>
        <v>149.73333333333332</v>
      </c>
      <c r="X203">
        <v>147.69999999999999</v>
      </c>
      <c r="Y203">
        <v>143.80000000000001</v>
      </c>
      <c r="Z203">
        <v>139.4</v>
      </c>
      <c r="AA203">
        <v>128.30000000000001</v>
      </c>
      <c r="AB203" s="1">
        <f t="shared" si="10"/>
        <v>139.93333333333334</v>
      </c>
      <c r="AC203">
        <v>138.6</v>
      </c>
      <c r="AD203">
        <v>146.9</v>
      </c>
      <c r="AE203">
        <v>131.30000000000001</v>
      </c>
      <c r="AF203">
        <f t="shared" si="11"/>
        <v>135.35000000000002</v>
      </c>
      <c r="AG203">
        <v>136.6</v>
      </c>
      <c r="AH203">
        <v>142.5</v>
      </c>
      <c r="AI203">
        <f t="shared" si="12"/>
        <v>139.55000000000001</v>
      </c>
    </row>
    <row r="204" spans="1:35" x14ac:dyDescent="0.25">
      <c r="A204" t="s">
        <v>30</v>
      </c>
      <c r="B204">
        <v>2018</v>
      </c>
      <c r="C204" t="s">
        <v>38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 s="1">
        <f>AVERAGE(Table1[[#This Row],[Cereals and products]:[Food and beverages]])</f>
        <v>135.96923076923076</v>
      </c>
      <c r="R204">
        <v>162.1</v>
      </c>
      <c r="S204">
        <v>140</v>
      </c>
      <c r="T204">
        <v>129</v>
      </c>
      <c r="U204">
        <v>138.30000000000001</v>
      </c>
      <c r="V204" s="1">
        <f>AVERAGE(Table1[[#This Row],[Clothing]:[Clothing and footwear]])</f>
        <v>135.76666666666668</v>
      </c>
      <c r="W204">
        <v>144.6</v>
      </c>
      <c r="X204">
        <v>129.80000000000001</v>
      </c>
      <c r="Y204">
        <v>134.4</v>
      </c>
      <c r="Z204">
        <v>134.9</v>
      </c>
      <c r="AA204">
        <v>120.7</v>
      </c>
      <c r="AB204" s="1">
        <f t="shared" si="10"/>
        <v>132.375</v>
      </c>
      <c r="AC204">
        <v>129.80000000000001</v>
      </c>
      <c r="AD204">
        <v>145.30000000000001</v>
      </c>
      <c r="AE204">
        <v>128.30000000000001</v>
      </c>
      <c r="AF204">
        <f t="shared" si="11"/>
        <v>131.60000000000002</v>
      </c>
      <c r="AG204">
        <v>131</v>
      </c>
      <c r="AH204">
        <v>138</v>
      </c>
      <c r="AI204">
        <f t="shared" si="12"/>
        <v>134.5</v>
      </c>
    </row>
    <row r="205" spans="1:35" x14ac:dyDescent="0.25">
      <c r="A205" t="s">
        <v>31</v>
      </c>
      <c r="B205">
        <v>2018</v>
      </c>
      <c r="C205" t="s">
        <v>38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 s="1">
        <f>AVERAGE(Table1[[#This Row],[Cereals and products]:[Food and beverages]])</f>
        <v>138.36153846153849</v>
      </c>
      <c r="R205">
        <v>157.9</v>
      </c>
      <c r="S205">
        <v>147.30000000000001</v>
      </c>
      <c r="T205">
        <v>138.80000000000001</v>
      </c>
      <c r="U205">
        <v>146.1</v>
      </c>
      <c r="V205" s="1">
        <f>AVERAGE(Table1[[#This Row],[Clothing]:[Clothing and footwear]])</f>
        <v>144.06666666666669</v>
      </c>
      <c r="W205">
        <v>144.6</v>
      </c>
      <c r="X205">
        <v>140.9</v>
      </c>
      <c r="Y205">
        <v>139.4</v>
      </c>
      <c r="Z205">
        <v>137.69999999999999</v>
      </c>
      <c r="AA205">
        <v>124.3</v>
      </c>
      <c r="AB205" s="1">
        <f t="shared" si="10"/>
        <v>137.29999999999998</v>
      </c>
      <c r="AC205">
        <v>133.6</v>
      </c>
      <c r="AD205">
        <v>146</v>
      </c>
      <c r="AE205">
        <v>130.1</v>
      </c>
      <c r="AF205">
        <f t="shared" si="11"/>
        <v>133.89999999999998</v>
      </c>
      <c r="AG205">
        <v>133.9</v>
      </c>
      <c r="AH205">
        <v>140.4</v>
      </c>
      <c r="AI205">
        <f t="shared" si="12"/>
        <v>137.15</v>
      </c>
    </row>
    <row r="206" spans="1:35" x14ac:dyDescent="0.25">
      <c r="A206" t="s">
        <v>28</v>
      </c>
      <c r="B206">
        <v>2018</v>
      </c>
      <c r="C206" t="s">
        <v>39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 s="1">
        <f>AVERAGE(Table1[[#This Row],[Cereals and products]:[Food and beverages]])</f>
        <v>138.44615384615386</v>
      </c>
      <c r="R206">
        <v>157.69999999999999</v>
      </c>
      <c r="S206">
        <v>152.1</v>
      </c>
      <c r="T206">
        <v>146.1</v>
      </c>
      <c r="U206">
        <v>151.30000000000001</v>
      </c>
      <c r="V206" s="1">
        <f>AVERAGE(Table1[[#This Row],[Clothing]:[Clothing and footwear]])</f>
        <v>149.83333333333334</v>
      </c>
      <c r="X206">
        <v>149</v>
      </c>
      <c r="Y206">
        <v>144</v>
      </c>
      <c r="Z206">
        <v>140</v>
      </c>
      <c r="AA206">
        <v>129.9</v>
      </c>
      <c r="AB206" s="1">
        <f t="shared" si="10"/>
        <v>140.96666666666667</v>
      </c>
      <c r="AC206">
        <v>140</v>
      </c>
      <c r="AD206">
        <v>147.6</v>
      </c>
      <c r="AE206">
        <v>132</v>
      </c>
      <c r="AF206">
        <f t="shared" si="11"/>
        <v>136</v>
      </c>
      <c r="AG206">
        <v>137.4</v>
      </c>
      <c r="AH206">
        <v>142.1</v>
      </c>
      <c r="AI206">
        <f t="shared" si="12"/>
        <v>139.75</v>
      </c>
    </row>
    <row r="207" spans="1:35" x14ac:dyDescent="0.25">
      <c r="A207" t="s">
        <v>30</v>
      </c>
      <c r="B207">
        <v>2018</v>
      </c>
      <c r="C207" t="s">
        <v>39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 s="1">
        <f>AVERAGE(Table1[[#This Row],[Cereals and products]:[Food and beverages]])</f>
        <v>134.49230769230769</v>
      </c>
      <c r="R207">
        <v>163.30000000000001</v>
      </c>
      <c r="S207">
        <v>140.80000000000001</v>
      </c>
      <c r="T207">
        <v>129.30000000000001</v>
      </c>
      <c r="U207">
        <v>139.1</v>
      </c>
      <c r="V207" s="1">
        <f>AVERAGE(Table1[[#This Row],[Clothing]:[Clothing and footwear]])</f>
        <v>136.4</v>
      </c>
      <c r="W207">
        <v>145.30000000000001</v>
      </c>
      <c r="X207">
        <v>131.19999999999999</v>
      </c>
      <c r="Y207">
        <v>134.9</v>
      </c>
      <c r="Z207">
        <v>135.69999999999999</v>
      </c>
      <c r="AA207">
        <v>122.5</v>
      </c>
      <c r="AB207" s="1">
        <f t="shared" si="10"/>
        <v>133.47499999999999</v>
      </c>
      <c r="AC207">
        <v>130.19999999999999</v>
      </c>
      <c r="AD207">
        <v>145.19999999999999</v>
      </c>
      <c r="AE207">
        <v>129.30000000000001</v>
      </c>
      <c r="AF207">
        <f t="shared" si="11"/>
        <v>132.5</v>
      </c>
      <c r="AG207">
        <v>131.9</v>
      </c>
      <c r="AH207">
        <v>138.1</v>
      </c>
      <c r="AI207">
        <f t="shared" si="12"/>
        <v>135</v>
      </c>
    </row>
    <row r="208" spans="1:35" x14ac:dyDescent="0.25">
      <c r="A208" t="s">
        <v>31</v>
      </c>
      <c r="B208">
        <v>2018</v>
      </c>
      <c r="C208" t="s">
        <v>39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 s="1">
        <f>AVERAGE(Table1[[#This Row],[Cereals and products]:[Food and beverages]])</f>
        <v>136.88461538461539</v>
      </c>
      <c r="R208">
        <v>159.19999999999999</v>
      </c>
      <c r="S208">
        <v>147.69999999999999</v>
      </c>
      <c r="T208">
        <v>139.1</v>
      </c>
      <c r="U208">
        <v>146.5</v>
      </c>
      <c r="V208" s="1">
        <f>AVERAGE(Table1[[#This Row],[Clothing]:[Clothing and footwear]])</f>
        <v>144.43333333333331</v>
      </c>
      <c r="W208">
        <v>145.30000000000001</v>
      </c>
      <c r="X208">
        <v>142.30000000000001</v>
      </c>
      <c r="Y208">
        <v>139.69999999999999</v>
      </c>
      <c r="Z208">
        <v>138.4</v>
      </c>
      <c r="AA208">
        <v>126</v>
      </c>
      <c r="AB208" s="1">
        <f t="shared" si="10"/>
        <v>138.32499999999999</v>
      </c>
      <c r="AC208">
        <v>134.5</v>
      </c>
      <c r="AD208">
        <v>146.19999999999999</v>
      </c>
      <c r="AE208">
        <v>130.9</v>
      </c>
      <c r="AF208">
        <f t="shared" si="11"/>
        <v>134.65</v>
      </c>
      <c r="AG208">
        <v>134.69999999999999</v>
      </c>
      <c r="AH208">
        <v>140.19999999999999</v>
      </c>
      <c r="AI208">
        <f t="shared" si="12"/>
        <v>137.44999999999999</v>
      </c>
    </row>
    <row r="209" spans="1:35" x14ac:dyDescent="0.25">
      <c r="A209" t="s">
        <v>28</v>
      </c>
      <c r="B209">
        <v>2018</v>
      </c>
      <c r="C209" t="s">
        <v>40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 s="1">
        <f>AVERAGE(Table1[[#This Row],[Cereals and products]:[Food and beverages]])</f>
        <v>137.09230769230768</v>
      </c>
      <c r="R209">
        <v>159.6</v>
      </c>
      <c r="S209">
        <v>150.69999999999999</v>
      </c>
      <c r="T209">
        <v>144.5</v>
      </c>
      <c r="U209">
        <v>149.80000000000001</v>
      </c>
      <c r="V209" s="1">
        <f>AVERAGE(Table1[[#This Row],[Clothing]:[Clothing and footwear]])</f>
        <v>148.33333333333334</v>
      </c>
      <c r="X209">
        <v>149.69999999999999</v>
      </c>
      <c r="Y209">
        <v>147.5</v>
      </c>
      <c r="Z209">
        <v>144.80000000000001</v>
      </c>
      <c r="AA209">
        <v>130.80000000000001</v>
      </c>
      <c r="AB209" s="1">
        <f t="shared" si="10"/>
        <v>142.66666666666666</v>
      </c>
      <c r="AC209">
        <v>140.1</v>
      </c>
      <c r="AD209">
        <v>148</v>
      </c>
      <c r="AE209">
        <v>134.4</v>
      </c>
      <c r="AF209">
        <f t="shared" si="11"/>
        <v>139.60000000000002</v>
      </c>
      <c r="AG209">
        <v>139.80000000000001</v>
      </c>
      <c r="AH209">
        <v>142.19999999999999</v>
      </c>
      <c r="AI209">
        <f t="shared" si="12"/>
        <v>141</v>
      </c>
    </row>
    <row r="210" spans="1:35" x14ac:dyDescent="0.25">
      <c r="A210" t="s">
        <v>30</v>
      </c>
      <c r="B210">
        <v>2018</v>
      </c>
      <c r="C210" t="s">
        <v>40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 s="1">
        <f>AVERAGE(Table1[[#This Row],[Cereals and products]:[Food and beverages]])</f>
        <v>134.93076923076922</v>
      </c>
      <c r="R210">
        <v>164</v>
      </c>
      <c r="S210">
        <v>141.5</v>
      </c>
      <c r="T210">
        <v>129.80000000000001</v>
      </c>
      <c r="U210">
        <v>139.69999999999999</v>
      </c>
      <c r="V210" s="1">
        <f>AVERAGE(Table1[[#This Row],[Clothing]:[Clothing and footwear]])</f>
        <v>137</v>
      </c>
      <c r="W210">
        <v>146.30000000000001</v>
      </c>
      <c r="X210">
        <v>133.4</v>
      </c>
      <c r="Y210">
        <v>135.1</v>
      </c>
      <c r="Z210">
        <v>136.19999999999999</v>
      </c>
      <c r="AA210">
        <v>123.3</v>
      </c>
      <c r="AB210" s="1">
        <f t="shared" si="10"/>
        <v>134.52500000000001</v>
      </c>
      <c r="AC210">
        <v>130.69999999999999</v>
      </c>
      <c r="AD210">
        <v>145.5</v>
      </c>
      <c r="AE210">
        <v>130.4</v>
      </c>
      <c r="AF210">
        <f t="shared" si="11"/>
        <v>133.30000000000001</v>
      </c>
      <c r="AG210">
        <v>132.5</v>
      </c>
      <c r="AH210">
        <v>138.9</v>
      </c>
      <c r="AI210">
        <f t="shared" si="12"/>
        <v>135.69999999999999</v>
      </c>
    </row>
    <row r="211" spans="1:35" x14ac:dyDescent="0.25">
      <c r="A211" t="s">
        <v>31</v>
      </c>
      <c r="B211">
        <v>2018</v>
      </c>
      <c r="C211" t="s">
        <v>40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 s="1">
        <f>AVERAGE(Table1[[#This Row],[Cereals and products]:[Food and beverages]])</f>
        <v>136.63076923076923</v>
      </c>
      <c r="R211">
        <v>162.6</v>
      </c>
      <c r="S211">
        <v>148</v>
      </c>
      <c r="T211">
        <v>139.19999999999999</v>
      </c>
      <c r="U211">
        <v>146.80000000000001</v>
      </c>
      <c r="V211" s="1">
        <f>AVERAGE(Table1[[#This Row],[Clothing]:[Clothing and footwear]])</f>
        <v>144.66666666666666</v>
      </c>
      <c r="W211">
        <v>146.9</v>
      </c>
      <c r="X211">
        <v>145.30000000000001</v>
      </c>
      <c r="Y211">
        <v>142.19999999999999</v>
      </c>
      <c r="Z211">
        <v>142.1</v>
      </c>
      <c r="AA211">
        <v>125.5</v>
      </c>
      <c r="AB211" s="1">
        <f t="shared" si="10"/>
        <v>139.97500000000002</v>
      </c>
      <c r="AC211">
        <v>136.5</v>
      </c>
      <c r="AD211">
        <v>147.80000000000001</v>
      </c>
      <c r="AE211">
        <v>132</v>
      </c>
      <c r="AF211">
        <f t="shared" si="11"/>
        <v>137.05000000000001</v>
      </c>
      <c r="AG211">
        <v>136.30000000000001</v>
      </c>
      <c r="AH211">
        <v>140.80000000000001</v>
      </c>
      <c r="AI211">
        <f t="shared" si="12"/>
        <v>138.55000000000001</v>
      </c>
    </row>
    <row r="212" spans="1:35" x14ac:dyDescent="0.25">
      <c r="A212" t="s">
        <v>28</v>
      </c>
      <c r="B212">
        <v>2018</v>
      </c>
      <c r="C212" t="s">
        <v>42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 s="1">
        <f>AVERAGE(Table1[[#This Row],[Cereals and products]:[Food and beverages]])</f>
        <v>137.49999999999997</v>
      </c>
      <c r="R212">
        <v>161.9</v>
      </c>
      <c r="S212">
        <v>151.69999999999999</v>
      </c>
      <c r="T212">
        <v>145.5</v>
      </c>
      <c r="U212">
        <v>150.80000000000001</v>
      </c>
      <c r="V212" s="1">
        <f>AVERAGE(Table1[[#This Row],[Clothing]:[Clothing and footwear]])</f>
        <v>149.33333333333334</v>
      </c>
      <c r="X212">
        <v>150.30000000000001</v>
      </c>
      <c r="Y212">
        <v>148</v>
      </c>
      <c r="Z212">
        <v>145.4</v>
      </c>
      <c r="AA212">
        <v>130.30000000000001</v>
      </c>
      <c r="AB212" s="1">
        <f t="shared" si="10"/>
        <v>142.86666666666667</v>
      </c>
      <c r="AC212">
        <v>143.1</v>
      </c>
      <c r="AD212">
        <v>150.19999999999999</v>
      </c>
      <c r="AE212">
        <v>133.1</v>
      </c>
      <c r="AF212">
        <f t="shared" si="11"/>
        <v>139.25</v>
      </c>
      <c r="AG212">
        <v>140.1</v>
      </c>
      <c r="AH212">
        <v>142.4</v>
      </c>
      <c r="AI212">
        <f t="shared" si="12"/>
        <v>141.25</v>
      </c>
    </row>
    <row r="213" spans="1:35" x14ac:dyDescent="0.25">
      <c r="A213" t="s">
        <v>30</v>
      </c>
      <c r="B213">
        <v>2018</v>
      </c>
      <c r="C213" t="s">
        <v>42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 s="1">
        <f>AVERAGE(Table1[[#This Row],[Cereals and products]:[Food and beverages]])</f>
        <v>135.19230769230768</v>
      </c>
      <c r="R213">
        <v>164.4</v>
      </c>
      <c r="S213">
        <v>142.4</v>
      </c>
      <c r="T213">
        <v>130.19999999999999</v>
      </c>
      <c r="U213">
        <v>140.5</v>
      </c>
      <c r="V213" s="1">
        <f>AVERAGE(Table1[[#This Row],[Clothing]:[Clothing and footwear]])</f>
        <v>137.70000000000002</v>
      </c>
      <c r="W213">
        <v>146.9</v>
      </c>
      <c r="X213">
        <v>136.69999999999999</v>
      </c>
      <c r="Y213">
        <v>135.80000000000001</v>
      </c>
      <c r="Z213">
        <v>136.80000000000001</v>
      </c>
      <c r="AA213">
        <v>121.2</v>
      </c>
      <c r="AB213" s="1">
        <f t="shared" si="10"/>
        <v>135.15</v>
      </c>
      <c r="AC213">
        <v>131.30000000000001</v>
      </c>
      <c r="AD213">
        <v>146.1</v>
      </c>
      <c r="AE213">
        <v>130.5</v>
      </c>
      <c r="AF213">
        <f t="shared" si="11"/>
        <v>133.65</v>
      </c>
      <c r="AG213">
        <v>132.19999999999999</v>
      </c>
      <c r="AH213">
        <v>139</v>
      </c>
      <c r="AI213">
        <f t="shared" si="12"/>
        <v>135.6</v>
      </c>
    </row>
    <row r="214" spans="1:35" x14ac:dyDescent="0.25">
      <c r="A214" t="s">
        <v>31</v>
      </c>
      <c r="B214">
        <v>2018</v>
      </c>
      <c r="C214" t="s">
        <v>42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 s="1">
        <f>AVERAGE(Table1[[#This Row],[Cereals and products]:[Food and beverages]])</f>
        <v>136.59230769230771</v>
      </c>
      <c r="R214">
        <v>162.6</v>
      </c>
      <c r="S214">
        <v>148</v>
      </c>
      <c r="T214">
        <v>139.1</v>
      </c>
      <c r="U214">
        <v>146.69999999999999</v>
      </c>
      <c r="V214" s="1">
        <f>AVERAGE(Table1[[#This Row],[Clothing]:[Clothing and footwear]])</f>
        <v>144.6</v>
      </c>
      <c r="W214">
        <v>146.9</v>
      </c>
      <c r="X214">
        <v>145.1</v>
      </c>
      <c r="Y214">
        <v>142.19999999999999</v>
      </c>
      <c r="Z214">
        <v>142.1</v>
      </c>
      <c r="AA214">
        <v>125.5</v>
      </c>
      <c r="AB214" s="1">
        <f t="shared" si="10"/>
        <v>139.92500000000001</v>
      </c>
      <c r="AC214">
        <v>136.5</v>
      </c>
      <c r="AD214">
        <v>147.80000000000001</v>
      </c>
      <c r="AE214">
        <v>132</v>
      </c>
      <c r="AF214">
        <f t="shared" si="11"/>
        <v>137.05000000000001</v>
      </c>
      <c r="AG214">
        <v>136.30000000000001</v>
      </c>
      <c r="AH214">
        <v>140.80000000000001</v>
      </c>
      <c r="AI214">
        <f t="shared" si="12"/>
        <v>138.55000000000001</v>
      </c>
    </row>
    <row r="215" spans="1:35" x14ac:dyDescent="0.25">
      <c r="A215" t="s">
        <v>28</v>
      </c>
      <c r="B215">
        <v>2018</v>
      </c>
      <c r="C215" t="s">
        <v>43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 s="1">
        <f>AVERAGE(Table1[[#This Row],[Cereals and products]:[Food and beverages]])</f>
        <v>136.3923076923077</v>
      </c>
      <c r="R215">
        <v>162.4</v>
      </c>
      <c r="S215">
        <v>151.6</v>
      </c>
      <c r="T215">
        <v>145.9</v>
      </c>
      <c r="U215">
        <v>150.80000000000001</v>
      </c>
      <c r="V215" s="1">
        <f>AVERAGE(Table1[[#This Row],[Clothing]:[Clothing and footwear]])</f>
        <v>149.43333333333334</v>
      </c>
      <c r="X215">
        <v>149</v>
      </c>
      <c r="Y215">
        <v>149.5</v>
      </c>
      <c r="Z215">
        <v>149.6</v>
      </c>
      <c r="AA215">
        <v>128.9</v>
      </c>
      <c r="AB215" s="1">
        <f t="shared" si="10"/>
        <v>142.46666666666667</v>
      </c>
      <c r="AC215">
        <v>143.30000000000001</v>
      </c>
      <c r="AD215">
        <v>155.1</v>
      </c>
      <c r="AE215">
        <v>133.19999999999999</v>
      </c>
      <c r="AF215">
        <f t="shared" si="11"/>
        <v>141.39999999999998</v>
      </c>
      <c r="AG215">
        <v>141.6</v>
      </c>
      <c r="AH215">
        <v>141.9</v>
      </c>
      <c r="AI215">
        <f t="shared" si="12"/>
        <v>141.75</v>
      </c>
    </row>
    <row r="216" spans="1:35" x14ac:dyDescent="0.25">
      <c r="A216" t="s">
        <v>30</v>
      </c>
      <c r="B216">
        <v>2018</v>
      </c>
      <c r="C216" t="s">
        <v>43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 s="1">
        <f>AVERAGE(Table1[[#This Row],[Cereals and products]:[Food and beverages]])</f>
        <v>134.35384615384615</v>
      </c>
      <c r="R216">
        <v>164.6</v>
      </c>
      <c r="S216">
        <v>142.69999999999999</v>
      </c>
      <c r="T216">
        <v>130.30000000000001</v>
      </c>
      <c r="U216">
        <v>140.80000000000001</v>
      </c>
      <c r="V216" s="1">
        <f>AVERAGE(Table1[[#This Row],[Clothing]:[Clothing and footwear]])</f>
        <v>137.93333333333334</v>
      </c>
      <c r="W216">
        <v>146.5</v>
      </c>
      <c r="X216">
        <v>132.4</v>
      </c>
      <c r="Y216">
        <v>136.19999999999999</v>
      </c>
      <c r="Z216">
        <v>137.30000000000001</v>
      </c>
      <c r="AA216">
        <v>118.8</v>
      </c>
      <c r="AB216" s="1">
        <f t="shared" si="10"/>
        <v>133.47499999999999</v>
      </c>
      <c r="AC216">
        <v>131.69999999999999</v>
      </c>
      <c r="AD216">
        <v>146.5</v>
      </c>
      <c r="AE216">
        <v>130.80000000000001</v>
      </c>
      <c r="AF216">
        <f t="shared" si="11"/>
        <v>134.05000000000001</v>
      </c>
      <c r="AG216">
        <v>131.69999999999999</v>
      </c>
      <c r="AH216">
        <v>138</v>
      </c>
      <c r="AI216">
        <f t="shared" si="12"/>
        <v>134.85</v>
      </c>
    </row>
    <row r="217" spans="1:35" x14ac:dyDescent="0.25">
      <c r="A217" t="s">
        <v>31</v>
      </c>
      <c r="B217">
        <v>2018</v>
      </c>
      <c r="C217" t="s">
        <v>43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 s="1">
        <f>AVERAGE(Table1[[#This Row],[Cereals and products]:[Food and beverages]])</f>
        <v>135.59999999999997</v>
      </c>
      <c r="R217">
        <v>163</v>
      </c>
      <c r="S217">
        <v>148.1</v>
      </c>
      <c r="T217">
        <v>139.4</v>
      </c>
      <c r="U217">
        <v>146.80000000000001</v>
      </c>
      <c r="V217" s="1">
        <f>AVERAGE(Table1[[#This Row],[Clothing]:[Clothing and footwear]])</f>
        <v>144.76666666666668</v>
      </c>
      <c r="W217">
        <v>146.5</v>
      </c>
      <c r="X217">
        <v>142.69999999999999</v>
      </c>
      <c r="Y217">
        <v>143.19999999999999</v>
      </c>
      <c r="Z217">
        <v>144.9</v>
      </c>
      <c r="AA217">
        <v>123.6</v>
      </c>
      <c r="AB217" s="1">
        <f t="shared" si="10"/>
        <v>139</v>
      </c>
      <c r="AC217">
        <v>136.80000000000001</v>
      </c>
      <c r="AD217">
        <v>150.1</v>
      </c>
      <c r="AE217">
        <v>132.19999999999999</v>
      </c>
      <c r="AF217">
        <f t="shared" si="11"/>
        <v>138.55000000000001</v>
      </c>
      <c r="AG217">
        <v>136.80000000000001</v>
      </c>
      <c r="AH217">
        <v>140.1</v>
      </c>
      <c r="AI217">
        <f t="shared" si="12"/>
        <v>138.44999999999999</v>
      </c>
    </row>
    <row r="218" spans="1:35" x14ac:dyDescent="0.25">
      <c r="A218" t="s">
        <v>28</v>
      </c>
      <c r="B218">
        <v>2019</v>
      </c>
      <c r="C218" t="s">
        <v>29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 s="1">
        <f>AVERAGE(Table1[[#This Row],[Cereals and products]:[Food and beverages]])</f>
        <v>135.35384615384618</v>
      </c>
      <c r="R218">
        <v>162.69999999999999</v>
      </c>
      <c r="S218">
        <v>150.6</v>
      </c>
      <c r="T218">
        <v>145.1</v>
      </c>
      <c r="U218">
        <v>149.9</v>
      </c>
      <c r="V218" s="1">
        <f>AVERAGE(Table1[[#This Row],[Clothing]:[Clothing and footwear]])</f>
        <v>148.53333333333333</v>
      </c>
      <c r="X218">
        <v>146.19999999999999</v>
      </c>
      <c r="Y218">
        <v>150.1</v>
      </c>
      <c r="Z218">
        <v>149.6</v>
      </c>
      <c r="AA218">
        <v>128.6</v>
      </c>
      <c r="AB218" s="1">
        <f t="shared" si="10"/>
        <v>141.63333333333333</v>
      </c>
      <c r="AC218">
        <v>142.9</v>
      </c>
      <c r="AD218">
        <v>155.19999999999999</v>
      </c>
      <c r="AE218">
        <v>133.5</v>
      </c>
      <c r="AF218">
        <f t="shared" si="11"/>
        <v>141.55000000000001</v>
      </c>
      <c r="AG218">
        <v>141.69999999999999</v>
      </c>
      <c r="AH218">
        <v>141</v>
      </c>
      <c r="AI218">
        <f t="shared" si="12"/>
        <v>141.35</v>
      </c>
    </row>
    <row r="219" spans="1:35" x14ac:dyDescent="0.25">
      <c r="A219" t="s">
        <v>30</v>
      </c>
      <c r="B219">
        <v>2019</v>
      </c>
      <c r="C219" t="s">
        <v>29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 s="1">
        <f>AVERAGE(Table1[[#This Row],[Cereals and products]:[Food and beverages]])</f>
        <v>134.17692307692309</v>
      </c>
      <c r="R219">
        <v>164.7</v>
      </c>
      <c r="S219">
        <v>143</v>
      </c>
      <c r="T219">
        <v>130.4</v>
      </c>
      <c r="U219">
        <v>141.1</v>
      </c>
      <c r="V219" s="1">
        <f>AVERAGE(Table1[[#This Row],[Clothing]:[Clothing and footwear]])</f>
        <v>138.16666666666666</v>
      </c>
      <c r="W219">
        <v>147.69999999999999</v>
      </c>
      <c r="X219">
        <v>128.6</v>
      </c>
      <c r="Y219">
        <v>136.30000000000001</v>
      </c>
      <c r="Z219">
        <v>137.80000000000001</v>
      </c>
      <c r="AA219">
        <v>118.6</v>
      </c>
      <c r="AB219" s="1">
        <f t="shared" si="10"/>
        <v>132.79999999999998</v>
      </c>
      <c r="AC219">
        <v>131.9</v>
      </c>
      <c r="AD219">
        <v>146.6</v>
      </c>
      <c r="AE219">
        <v>131.69999999999999</v>
      </c>
      <c r="AF219">
        <f t="shared" si="11"/>
        <v>134.75</v>
      </c>
      <c r="AG219">
        <v>131.80000000000001</v>
      </c>
      <c r="AH219">
        <v>138</v>
      </c>
      <c r="AI219">
        <f t="shared" si="12"/>
        <v>134.9</v>
      </c>
    </row>
    <row r="220" spans="1:35" x14ac:dyDescent="0.25">
      <c r="A220" t="s">
        <v>31</v>
      </c>
      <c r="B220">
        <v>2019</v>
      </c>
      <c r="C220" t="s">
        <v>29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 s="1">
        <f>AVERAGE(Table1[[#This Row],[Cereals and products]:[Food and beverages]])</f>
        <v>134.87692307692308</v>
      </c>
      <c r="R220">
        <v>163.19999999999999</v>
      </c>
      <c r="S220">
        <v>147.6</v>
      </c>
      <c r="T220">
        <v>139</v>
      </c>
      <c r="U220">
        <v>146.4</v>
      </c>
      <c r="V220" s="1">
        <f>AVERAGE(Table1[[#This Row],[Clothing]:[Clothing and footwear]])</f>
        <v>144.33333333333334</v>
      </c>
      <c r="W220">
        <v>147.69999999999999</v>
      </c>
      <c r="X220">
        <v>139.5</v>
      </c>
      <c r="Y220">
        <v>143.6</v>
      </c>
      <c r="Z220">
        <v>145.1</v>
      </c>
      <c r="AA220">
        <v>123.3</v>
      </c>
      <c r="AB220" s="1">
        <f t="shared" si="10"/>
        <v>138.52499999999998</v>
      </c>
      <c r="AC220">
        <v>136.69999999999999</v>
      </c>
      <c r="AD220">
        <v>150.19999999999999</v>
      </c>
      <c r="AE220">
        <v>132.80000000000001</v>
      </c>
      <c r="AF220">
        <f t="shared" si="11"/>
        <v>138.94999999999999</v>
      </c>
      <c r="AG220">
        <v>136.9</v>
      </c>
      <c r="AH220">
        <v>139.6</v>
      </c>
      <c r="AI220">
        <f t="shared" si="12"/>
        <v>138.25</v>
      </c>
    </row>
    <row r="221" spans="1:35" x14ac:dyDescent="0.25">
      <c r="A221" t="s">
        <v>28</v>
      </c>
      <c r="B221">
        <v>2019</v>
      </c>
      <c r="C221" t="s">
        <v>32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 s="1">
        <f>AVERAGE(Table1[[#This Row],[Cereals and products]:[Food and beverages]])</f>
        <v>135.3692307692308</v>
      </c>
      <c r="R221">
        <v>162.80000000000001</v>
      </c>
      <c r="S221">
        <v>150.5</v>
      </c>
      <c r="T221">
        <v>146.1</v>
      </c>
      <c r="U221">
        <v>149.9</v>
      </c>
      <c r="V221" s="1">
        <f>AVERAGE(Table1[[#This Row],[Clothing]:[Clothing and footwear]])</f>
        <v>148.83333333333334</v>
      </c>
      <c r="X221">
        <v>145.30000000000001</v>
      </c>
      <c r="Y221">
        <v>150.1</v>
      </c>
      <c r="Z221">
        <v>149.9</v>
      </c>
      <c r="AA221">
        <v>129.19999999999999</v>
      </c>
      <c r="AB221" s="1">
        <f t="shared" si="10"/>
        <v>141.53333333333333</v>
      </c>
      <c r="AC221">
        <v>143.4</v>
      </c>
      <c r="AD221">
        <v>155.5</v>
      </c>
      <c r="AE221">
        <v>134.9</v>
      </c>
      <c r="AF221">
        <f t="shared" si="11"/>
        <v>142.4</v>
      </c>
      <c r="AG221">
        <v>142.19999999999999</v>
      </c>
      <c r="AH221">
        <v>141</v>
      </c>
      <c r="AI221">
        <f t="shared" si="12"/>
        <v>141.6</v>
      </c>
    </row>
    <row r="222" spans="1:35" x14ac:dyDescent="0.25">
      <c r="A222" t="s">
        <v>30</v>
      </c>
      <c r="B222">
        <v>2019</v>
      </c>
      <c r="C222" t="s">
        <v>32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 s="1">
        <f>AVERAGE(Table1[[#This Row],[Cereals and products]:[Food and beverages]])</f>
        <v>134.95384615384617</v>
      </c>
      <c r="R222">
        <v>164.9</v>
      </c>
      <c r="S222">
        <v>143.30000000000001</v>
      </c>
      <c r="T222">
        <v>130.80000000000001</v>
      </c>
      <c r="U222">
        <v>141.4</v>
      </c>
      <c r="V222" s="1">
        <f>AVERAGE(Table1[[#This Row],[Clothing]:[Clothing and footwear]])</f>
        <v>138.5</v>
      </c>
      <c r="W222">
        <v>148.5</v>
      </c>
      <c r="X222">
        <v>127.1</v>
      </c>
      <c r="Y222">
        <v>136.6</v>
      </c>
      <c r="Z222">
        <v>138.5</v>
      </c>
      <c r="AA222">
        <v>119.2</v>
      </c>
      <c r="AB222" s="1">
        <f t="shared" si="10"/>
        <v>132.85000000000002</v>
      </c>
      <c r="AC222">
        <v>132.19999999999999</v>
      </c>
      <c r="AD222">
        <v>146.6</v>
      </c>
      <c r="AE222">
        <v>133</v>
      </c>
      <c r="AF222">
        <f t="shared" si="11"/>
        <v>135.75</v>
      </c>
      <c r="AG222">
        <v>132.4</v>
      </c>
      <c r="AH222">
        <v>138.6</v>
      </c>
      <c r="AI222">
        <f t="shared" si="12"/>
        <v>135.5</v>
      </c>
    </row>
    <row r="223" spans="1:35" x14ac:dyDescent="0.25">
      <c r="A223" t="s">
        <v>31</v>
      </c>
      <c r="B223">
        <v>2019</v>
      </c>
      <c r="C223" t="s">
        <v>32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 s="1">
        <f>AVERAGE(Table1[[#This Row],[Cereals and products]:[Food and beverages]])</f>
        <v>135.16153846153844</v>
      </c>
      <c r="R223">
        <v>163.4</v>
      </c>
      <c r="S223">
        <v>147.69999999999999</v>
      </c>
      <c r="T223">
        <v>139.69999999999999</v>
      </c>
      <c r="U223">
        <v>146.5</v>
      </c>
      <c r="V223" s="1">
        <f>AVERAGE(Table1[[#This Row],[Clothing]:[Clothing and footwear]])</f>
        <v>144.63333333333333</v>
      </c>
      <c r="W223">
        <v>148.5</v>
      </c>
      <c r="X223">
        <v>138.4</v>
      </c>
      <c r="Y223">
        <v>143.69999999999999</v>
      </c>
      <c r="Z223">
        <v>145.6</v>
      </c>
      <c r="AA223">
        <v>123.9</v>
      </c>
      <c r="AB223" s="1">
        <f t="shared" si="10"/>
        <v>138.625</v>
      </c>
      <c r="AC223">
        <v>137.1</v>
      </c>
      <c r="AD223">
        <v>150.30000000000001</v>
      </c>
      <c r="AE223">
        <v>134.1</v>
      </c>
      <c r="AF223">
        <f t="shared" si="11"/>
        <v>139.85</v>
      </c>
      <c r="AG223">
        <v>137.4</v>
      </c>
      <c r="AH223">
        <v>139.9</v>
      </c>
      <c r="AI223">
        <f t="shared" si="12"/>
        <v>138.65</v>
      </c>
    </row>
    <row r="224" spans="1:35" x14ac:dyDescent="0.25">
      <c r="A224" t="s">
        <v>28</v>
      </c>
      <c r="B224">
        <v>2019</v>
      </c>
      <c r="C224" t="s">
        <v>33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 s="1">
        <f>AVERAGE(Table1[[#This Row],[Cereals and products]:[Food and beverages]])</f>
        <v>135.4769230769231</v>
      </c>
      <c r="R224">
        <v>162.9</v>
      </c>
      <c r="S224">
        <v>150.80000000000001</v>
      </c>
      <c r="T224">
        <v>146.1</v>
      </c>
      <c r="U224">
        <v>150.1</v>
      </c>
      <c r="V224" s="1">
        <f>AVERAGE(Table1[[#This Row],[Clothing]:[Clothing and footwear]])</f>
        <v>149</v>
      </c>
      <c r="X224">
        <v>146.4</v>
      </c>
      <c r="Y224">
        <v>150</v>
      </c>
      <c r="Z224">
        <v>150.4</v>
      </c>
      <c r="AA224">
        <v>129.9</v>
      </c>
      <c r="AB224" s="1">
        <f t="shared" si="10"/>
        <v>142.1</v>
      </c>
      <c r="AC224">
        <v>143.80000000000001</v>
      </c>
      <c r="AD224">
        <v>155.5</v>
      </c>
      <c r="AE224">
        <v>134</v>
      </c>
      <c r="AF224">
        <f t="shared" si="11"/>
        <v>142.19999999999999</v>
      </c>
      <c r="AG224">
        <v>142.4</v>
      </c>
      <c r="AH224">
        <v>141.19999999999999</v>
      </c>
      <c r="AI224">
        <f t="shared" si="12"/>
        <v>141.80000000000001</v>
      </c>
    </row>
    <row r="225" spans="1:35" x14ac:dyDescent="0.25">
      <c r="A225" t="s">
        <v>30</v>
      </c>
      <c r="B225">
        <v>2019</v>
      </c>
      <c r="C225" t="s">
        <v>33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 s="1">
        <f>AVERAGE(Table1[[#This Row],[Cereals and products]:[Food and beverages]])</f>
        <v>136.03076923076924</v>
      </c>
      <c r="R225">
        <v>165.3</v>
      </c>
      <c r="S225">
        <v>143.5</v>
      </c>
      <c r="T225">
        <v>131.19999999999999</v>
      </c>
      <c r="U225">
        <v>141.6</v>
      </c>
      <c r="V225" s="1">
        <f>AVERAGE(Table1[[#This Row],[Clothing]:[Clothing and footwear]])</f>
        <v>138.76666666666665</v>
      </c>
      <c r="W225">
        <v>149</v>
      </c>
      <c r="X225">
        <v>128.80000000000001</v>
      </c>
      <c r="Y225">
        <v>136.80000000000001</v>
      </c>
      <c r="Z225">
        <v>139.19999999999999</v>
      </c>
      <c r="AA225">
        <v>119.9</v>
      </c>
      <c r="AB225" s="1">
        <f t="shared" si="10"/>
        <v>133.625</v>
      </c>
      <c r="AC225">
        <v>133</v>
      </c>
      <c r="AD225">
        <v>146.69999999999999</v>
      </c>
      <c r="AE225">
        <v>132.5</v>
      </c>
      <c r="AF225">
        <f t="shared" si="11"/>
        <v>135.85</v>
      </c>
      <c r="AG225">
        <v>132.80000000000001</v>
      </c>
      <c r="AH225">
        <v>139.5</v>
      </c>
      <c r="AI225">
        <f t="shared" si="12"/>
        <v>136.15</v>
      </c>
    </row>
    <row r="226" spans="1:35" x14ac:dyDescent="0.25">
      <c r="A226" t="s">
        <v>31</v>
      </c>
      <c r="B226">
        <v>2019</v>
      </c>
      <c r="C226" t="s">
        <v>33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 s="1">
        <f>AVERAGE(Table1[[#This Row],[Cereals and products]:[Food and beverages]])</f>
        <v>135.6076923076923</v>
      </c>
      <c r="R226">
        <v>163.5</v>
      </c>
      <c r="S226">
        <v>147.9</v>
      </c>
      <c r="T226">
        <v>139.9</v>
      </c>
      <c r="U226">
        <v>146.69999999999999</v>
      </c>
      <c r="V226" s="1">
        <f>AVERAGE(Table1[[#This Row],[Clothing]:[Clothing and footwear]])</f>
        <v>144.83333333333334</v>
      </c>
      <c r="W226">
        <v>149</v>
      </c>
      <c r="X226">
        <v>139.69999999999999</v>
      </c>
      <c r="Y226">
        <v>143.80000000000001</v>
      </c>
      <c r="Z226">
        <v>146.19999999999999</v>
      </c>
      <c r="AA226">
        <v>124.6</v>
      </c>
      <c r="AB226" s="1">
        <f t="shared" si="10"/>
        <v>139.27500000000001</v>
      </c>
      <c r="AC226">
        <v>137.69999999999999</v>
      </c>
      <c r="AD226">
        <v>150.30000000000001</v>
      </c>
      <c r="AE226">
        <v>133.4</v>
      </c>
      <c r="AF226">
        <f t="shared" si="11"/>
        <v>139.80000000000001</v>
      </c>
      <c r="AG226">
        <v>137.69999999999999</v>
      </c>
      <c r="AH226">
        <v>140.4</v>
      </c>
      <c r="AI226">
        <f t="shared" si="12"/>
        <v>139.05000000000001</v>
      </c>
    </row>
    <row r="227" spans="1:35" x14ac:dyDescent="0.25">
      <c r="A227" t="s">
        <v>28</v>
      </c>
      <c r="B227">
        <v>2019</v>
      </c>
      <c r="C227" t="s">
        <v>35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 s="1">
        <f>AVERAGE(Table1[[#This Row],[Cereals and products]:[Food and beverages]])</f>
        <v>137.0846153846154</v>
      </c>
      <c r="R227">
        <v>163.30000000000001</v>
      </c>
      <c r="S227">
        <v>151.30000000000001</v>
      </c>
      <c r="T227">
        <v>146.6</v>
      </c>
      <c r="U227">
        <v>150.69999999999999</v>
      </c>
      <c r="V227" s="1">
        <f>AVERAGE(Table1[[#This Row],[Clothing]:[Clothing and footwear]])</f>
        <v>149.53333333333333</v>
      </c>
      <c r="X227">
        <v>146.9</v>
      </c>
      <c r="Y227">
        <v>149.5</v>
      </c>
      <c r="Z227">
        <v>151.30000000000001</v>
      </c>
      <c r="AA227">
        <v>130.19999999999999</v>
      </c>
      <c r="AB227" s="1">
        <f t="shared" si="10"/>
        <v>142.19999999999999</v>
      </c>
      <c r="AC227">
        <v>145.9</v>
      </c>
      <c r="AD227">
        <v>156.69999999999999</v>
      </c>
      <c r="AE227">
        <v>133.9</v>
      </c>
      <c r="AF227">
        <f t="shared" si="11"/>
        <v>142.60000000000002</v>
      </c>
      <c r="AG227">
        <v>142.9</v>
      </c>
      <c r="AH227">
        <v>142.4</v>
      </c>
      <c r="AI227">
        <f t="shared" si="12"/>
        <v>142.65</v>
      </c>
    </row>
    <row r="228" spans="1:35" x14ac:dyDescent="0.25">
      <c r="A228" t="s">
        <v>30</v>
      </c>
      <c r="B228">
        <v>2019</v>
      </c>
      <c r="C228" t="s">
        <v>35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 s="1">
        <f>AVERAGE(Table1[[#This Row],[Cereals and products]:[Food and beverages]])</f>
        <v>139.34615384615387</v>
      </c>
      <c r="R228">
        <v>166.2</v>
      </c>
      <c r="S228">
        <v>144</v>
      </c>
      <c r="T228">
        <v>131.69999999999999</v>
      </c>
      <c r="U228">
        <v>142.19999999999999</v>
      </c>
      <c r="V228" s="1">
        <f>AVERAGE(Table1[[#This Row],[Clothing]:[Clothing and footwear]])</f>
        <v>139.29999999999998</v>
      </c>
      <c r="W228">
        <v>150.1</v>
      </c>
      <c r="X228">
        <v>129.4</v>
      </c>
      <c r="Y228">
        <v>137.19999999999999</v>
      </c>
      <c r="Z228">
        <v>139.80000000000001</v>
      </c>
      <c r="AA228">
        <v>120.1</v>
      </c>
      <c r="AB228" s="1">
        <f t="shared" si="10"/>
        <v>134.19999999999999</v>
      </c>
      <c r="AC228">
        <v>134</v>
      </c>
      <c r="AD228">
        <v>148</v>
      </c>
      <c r="AE228">
        <v>132.6</v>
      </c>
      <c r="AF228">
        <f t="shared" si="11"/>
        <v>136.19999999999999</v>
      </c>
      <c r="AG228">
        <v>133.30000000000001</v>
      </c>
      <c r="AH228">
        <v>141.5</v>
      </c>
      <c r="AI228">
        <f t="shared" si="12"/>
        <v>137.4</v>
      </c>
    </row>
    <row r="229" spans="1:35" x14ac:dyDescent="0.25">
      <c r="A229" t="s">
        <v>31</v>
      </c>
      <c r="B229">
        <v>2019</v>
      </c>
      <c r="C229" t="s">
        <v>35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 s="1">
        <f>AVERAGE(Table1[[#This Row],[Cereals and products]:[Food and beverages]])</f>
        <v>137.83846153846156</v>
      </c>
      <c r="R229">
        <v>164.1</v>
      </c>
      <c r="S229">
        <v>148.4</v>
      </c>
      <c r="T229">
        <v>140.4</v>
      </c>
      <c r="U229">
        <v>147.30000000000001</v>
      </c>
      <c r="V229" s="1">
        <f>AVERAGE(Table1[[#This Row],[Clothing]:[Clothing and footwear]])</f>
        <v>145.36666666666667</v>
      </c>
      <c r="W229">
        <v>150.1</v>
      </c>
      <c r="X229">
        <v>140.30000000000001</v>
      </c>
      <c r="Y229">
        <v>143.69999999999999</v>
      </c>
      <c r="Z229">
        <v>146.9</v>
      </c>
      <c r="AA229">
        <v>124.9</v>
      </c>
      <c r="AB229" s="1">
        <f t="shared" si="10"/>
        <v>139.75</v>
      </c>
      <c r="AC229">
        <v>139.19999999999999</v>
      </c>
      <c r="AD229">
        <v>151.6</v>
      </c>
      <c r="AE229">
        <v>133.4</v>
      </c>
      <c r="AF229">
        <f t="shared" si="11"/>
        <v>140.15</v>
      </c>
      <c r="AG229">
        <v>138.19999999999999</v>
      </c>
      <c r="AH229">
        <v>142</v>
      </c>
      <c r="AI229">
        <f t="shared" si="12"/>
        <v>140.1</v>
      </c>
    </row>
    <row r="230" spans="1:35" x14ac:dyDescent="0.25">
      <c r="A230" t="s">
        <v>28</v>
      </c>
      <c r="B230">
        <v>2019</v>
      </c>
      <c r="C230" t="s">
        <v>36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 s="1">
        <f>AVERAGE(Table1[[#This Row],[Cereals and products]:[Food and beverages]])</f>
        <v>138.78461538461536</v>
      </c>
      <c r="R230">
        <v>164.2</v>
      </c>
      <c r="S230">
        <v>151.4</v>
      </c>
      <c r="T230">
        <v>146.5</v>
      </c>
      <c r="U230">
        <v>150.69999999999999</v>
      </c>
      <c r="V230" s="1">
        <f>AVERAGE(Table1[[#This Row],[Clothing]:[Clothing and footwear]])</f>
        <v>149.53333333333333</v>
      </c>
      <c r="X230">
        <v>147.80000000000001</v>
      </c>
      <c r="Y230">
        <v>149.6</v>
      </c>
      <c r="Z230">
        <v>151.69999999999999</v>
      </c>
      <c r="AA230">
        <v>130.19999999999999</v>
      </c>
      <c r="AB230" s="1">
        <f t="shared" si="10"/>
        <v>142.53333333333333</v>
      </c>
      <c r="AC230">
        <v>146.4</v>
      </c>
      <c r="AD230">
        <v>157.69999999999999</v>
      </c>
      <c r="AE230">
        <v>134.80000000000001</v>
      </c>
      <c r="AF230">
        <f t="shared" si="11"/>
        <v>143.25</v>
      </c>
      <c r="AG230">
        <v>143.30000000000001</v>
      </c>
      <c r="AH230">
        <v>143.6</v>
      </c>
      <c r="AI230">
        <f t="shared" si="12"/>
        <v>143.44999999999999</v>
      </c>
    </row>
    <row r="231" spans="1:35" x14ac:dyDescent="0.25">
      <c r="A231" t="s">
        <v>30</v>
      </c>
      <c r="B231">
        <v>2019</v>
      </c>
      <c r="C231" t="s">
        <v>36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 s="1">
        <f>AVERAGE(Table1[[#This Row],[Cereals and products]:[Food and beverages]])</f>
        <v>141.0230769230769</v>
      </c>
      <c r="R231">
        <v>166.7</v>
      </c>
      <c r="S231">
        <v>144.30000000000001</v>
      </c>
      <c r="T231">
        <v>131.69999999999999</v>
      </c>
      <c r="U231">
        <v>142.4</v>
      </c>
      <c r="V231" s="1">
        <f>AVERAGE(Table1[[#This Row],[Clothing]:[Clothing and footwear]])</f>
        <v>139.46666666666667</v>
      </c>
      <c r="W231">
        <v>149.4</v>
      </c>
      <c r="X231">
        <v>130.5</v>
      </c>
      <c r="Y231">
        <v>137.4</v>
      </c>
      <c r="Z231">
        <v>140.30000000000001</v>
      </c>
      <c r="AA231">
        <v>119.6</v>
      </c>
      <c r="AB231" s="1">
        <f t="shared" si="10"/>
        <v>134.22499999999999</v>
      </c>
      <c r="AC231">
        <v>134.30000000000001</v>
      </c>
      <c r="AD231">
        <v>148.9</v>
      </c>
      <c r="AE231">
        <v>133.69999999999999</v>
      </c>
      <c r="AF231">
        <f t="shared" si="11"/>
        <v>137</v>
      </c>
      <c r="AG231">
        <v>133.6</v>
      </c>
      <c r="AH231">
        <v>142.1</v>
      </c>
      <c r="AI231">
        <f t="shared" si="12"/>
        <v>137.85</v>
      </c>
    </row>
    <row r="232" spans="1:35" x14ac:dyDescent="0.25">
      <c r="A232" t="s">
        <v>31</v>
      </c>
      <c r="B232">
        <v>2019</v>
      </c>
      <c r="C232" t="s">
        <v>36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 s="1">
        <f>AVERAGE(Table1[[#This Row],[Cereals and products]:[Food and beverages]])</f>
        <v>139.54615384615386</v>
      </c>
      <c r="R232">
        <v>164.9</v>
      </c>
      <c r="S232">
        <v>148.6</v>
      </c>
      <c r="T232">
        <v>140.4</v>
      </c>
      <c r="U232">
        <v>147.4</v>
      </c>
      <c r="V232" s="1">
        <f>AVERAGE(Table1[[#This Row],[Clothing]:[Clothing and footwear]])</f>
        <v>145.46666666666667</v>
      </c>
      <c r="W232">
        <v>149.4</v>
      </c>
      <c r="X232">
        <v>141.19999999999999</v>
      </c>
      <c r="Y232">
        <v>143.80000000000001</v>
      </c>
      <c r="Z232">
        <v>147.4</v>
      </c>
      <c r="AA232">
        <v>124.6</v>
      </c>
      <c r="AB232" s="1">
        <f t="shared" si="10"/>
        <v>139.75</v>
      </c>
      <c r="AC232">
        <v>139.6</v>
      </c>
      <c r="AD232">
        <v>152.5</v>
      </c>
      <c r="AE232">
        <v>134.30000000000001</v>
      </c>
      <c r="AF232">
        <f t="shared" si="11"/>
        <v>140.85000000000002</v>
      </c>
      <c r="AG232">
        <v>138.6</v>
      </c>
      <c r="AH232">
        <v>142.9</v>
      </c>
      <c r="AI232">
        <f t="shared" si="12"/>
        <v>140.75</v>
      </c>
    </row>
    <row r="233" spans="1:35" x14ac:dyDescent="0.25">
      <c r="A233" t="s">
        <v>28</v>
      </c>
      <c r="B233">
        <v>2019</v>
      </c>
      <c r="C233" t="s">
        <v>37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 s="1">
        <f>AVERAGE(Table1[[#This Row],[Cereals and products]:[Food and beverages]])</f>
        <v>140.53076923076921</v>
      </c>
      <c r="R233">
        <v>164.5</v>
      </c>
      <c r="S233">
        <v>151.6</v>
      </c>
      <c r="T233">
        <v>146.6</v>
      </c>
      <c r="U233">
        <v>150.9</v>
      </c>
      <c r="V233" s="1">
        <f>AVERAGE(Table1[[#This Row],[Clothing]:[Clothing and footwear]])</f>
        <v>149.70000000000002</v>
      </c>
      <c r="X233">
        <v>146.80000000000001</v>
      </c>
      <c r="Y233">
        <v>150</v>
      </c>
      <c r="Z233">
        <v>152.19999999999999</v>
      </c>
      <c r="AA233">
        <v>131.19999999999999</v>
      </c>
      <c r="AB233" s="1">
        <f t="shared" si="10"/>
        <v>142.66666666666666</v>
      </c>
      <c r="AC233">
        <v>147.5</v>
      </c>
      <c r="AD233">
        <v>159.1</v>
      </c>
      <c r="AE233">
        <v>136.1</v>
      </c>
      <c r="AF233">
        <f t="shared" si="11"/>
        <v>144.14999999999998</v>
      </c>
      <c r="AG233">
        <v>144.19999999999999</v>
      </c>
      <c r="AH233">
        <v>144.9</v>
      </c>
      <c r="AI233">
        <f t="shared" si="12"/>
        <v>144.55000000000001</v>
      </c>
    </row>
    <row r="234" spans="1:35" x14ac:dyDescent="0.25">
      <c r="A234" t="s">
        <v>30</v>
      </c>
      <c r="B234">
        <v>2019</v>
      </c>
      <c r="C234" t="s">
        <v>37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 s="1">
        <f>AVERAGE(Table1[[#This Row],[Cereals and products]:[Food and beverages]])</f>
        <v>142.87692307692308</v>
      </c>
      <c r="R234">
        <v>167.2</v>
      </c>
      <c r="S234">
        <v>144.69999999999999</v>
      </c>
      <c r="T234">
        <v>131.9</v>
      </c>
      <c r="U234">
        <v>142.69999999999999</v>
      </c>
      <c r="V234" s="1">
        <f>AVERAGE(Table1[[#This Row],[Clothing]:[Clothing and footwear]])</f>
        <v>139.76666666666668</v>
      </c>
      <c r="W234">
        <v>150.6</v>
      </c>
      <c r="X234">
        <v>127</v>
      </c>
      <c r="Y234">
        <v>137.69999999999999</v>
      </c>
      <c r="Z234">
        <v>140.80000000000001</v>
      </c>
      <c r="AA234">
        <v>120.6</v>
      </c>
      <c r="AB234" s="1">
        <f t="shared" si="10"/>
        <v>133.97499999999999</v>
      </c>
      <c r="AC234">
        <v>135</v>
      </c>
      <c r="AD234">
        <v>150.4</v>
      </c>
      <c r="AE234">
        <v>135.1</v>
      </c>
      <c r="AF234">
        <f t="shared" si="11"/>
        <v>137.94999999999999</v>
      </c>
      <c r="AG234">
        <v>134.5</v>
      </c>
      <c r="AH234">
        <v>143.30000000000001</v>
      </c>
      <c r="AI234">
        <f t="shared" si="12"/>
        <v>138.9</v>
      </c>
    </row>
    <row r="235" spans="1:35" x14ac:dyDescent="0.25">
      <c r="A235" t="s">
        <v>31</v>
      </c>
      <c r="B235">
        <v>2019</v>
      </c>
      <c r="C235" t="s">
        <v>37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 s="1">
        <f>AVERAGE(Table1[[#This Row],[Cereals and products]:[Food and beverages]])</f>
        <v>141.34615384615384</v>
      </c>
      <c r="R235">
        <v>165.2</v>
      </c>
      <c r="S235">
        <v>148.9</v>
      </c>
      <c r="T235">
        <v>140.5</v>
      </c>
      <c r="U235">
        <v>147.6</v>
      </c>
      <c r="V235" s="1">
        <f>AVERAGE(Table1[[#This Row],[Clothing]:[Clothing and footwear]])</f>
        <v>145.66666666666666</v>
      </c>
      <c r="W235">
        <v>150.6</v>
      </c>
      <c r="X235">
        <v>139.30000000000001</v>
      </c>
      <c r="Y235">
        <v>144.19999999999999</v>
      </c>
      <c r="Z235">
        <v>147.9</v>
      </c>
      <c r="AA235">
        <v>125.6</v>
      </c>
      <c r="AB235" s="1">
        <f t="shared" si="10"/>
        <v>139.92499999999998</v>
      </c>
      <c r="AC235">
        <v>140.5</v>
      </c>
      <c r="AD235">
        <v>154</v>
      </c>
      <c r="AE235">
        <v>135.69999999999999</v>
      </c>
      <c r="AF235">
        <f t="shared" si="11"/>
        <v>141.80000000000001</v>
      </c>
      <c r="AG235">
        <v>139.5</v>
      </c>
      <c r="AH235">
        <v>144.19999999999999</v>
      </c>
      <c r="AI235">
        <f t="shared" si="12"/>
        <v>141.85</v>
      </c>
    </row>
    <row r="236" spans="1:35" x14ac:dyDescent="0.25">
      <c r="A236" t="s">
        <v>28</v>
      </c>
      <c r="B236">
        <v>2019</v>
      </c>
      <c r="C236" t="s">
        <v>38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 s="1">
        <f>AVERAGE(Table1[[#This Row],[Cereals and products]:[Food and beverages]])</f>
        <v>141.11538461538464</v>
      </c>
      <c r="R236">
        <v>165.1</v>
      </c>
      <c r="S236">
        <v>151.80000000000001</v>
      </c>
      <c r="T236">
        <v>146.6</v>
      </c>
      <c r="U236">
        <v>151.1</v>
      </c>
      <c r="V236" s="1">
        <f>AVERAGE(Table1[[#This Row],[Clothing]:[Clothing and footwear]])</f>
        <v>149.83333333333334</v>
      </c>
      <c r="X236">
        <v>146.4</v>
      </c>
      <c r="Y236">
        <v>150.19999999999999</v>
      </c>
      <c r="Z236">
        <v>152.69999999999999</v>
      </c>
      <c r="AA236">
        <v>131.4</v>
      </c>
      <c r="AB236" s="1">
        <f t="shared" si="10"/>
        <v>142.66666666666666</v>
      </c>
      <c r="AC236">
        <v>148</v>
      </c>
      <c r="AD236">
        <v>159.69999999999999</v>
      </c>
      <c r="AE236">
        <v>138.80000000000001</v>
      </c>
      <c r="AF236">
        <f t="shared" si="11"/>
        <v>145.75</v>
      </c>
      <c r="AG236">
        <v>144.9</v>
      </c>
      <c r="AH236">
        <v>145.69999999999999</v>
      </c>
      <c r="AI236">
        <f t="shared" si="12"/>
        <v>145.30000000000001</v>
      </c>
    </row>
    <row r="237" spans="1:35" x14ac:dyDescent="0.25">
      <c r="A237" t="s">
        <v>30</v>
      </c>
      <c r="B237">
        <v>2019</v>
      </c>
      <c r="C237" t="s">
        <v>38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 s="1">
        <f>AVERAGE(Table1[[#This Row],[Cereals and products]:[Food and beverages]])</f>
        <v>143.77692307692308</v>
      </c>
      <c r="R237">
        <v>167.9</v>
      </c>
      <c r="S237">
        <v>145</v>
      </c>
      <c r="T237">
        <v>132.19999999999999</v>
      </c>
      <c r="U237">
        <v>143</v>
      </c>
      <c r="V237" s="1">
        <f>AVERAGE(Table1[[#This Row],[Clothing]:[Clothing and footwear]])</f>
        <v>140.06666666666666</v>
      </c>
      <c r="W237">
        <v>151.6</v>
      </c>
      <c r="X237">
        <v>125.5</v>
      </c>
      <c r="Y237">
        <v>138.1</v>
      </c>
      <c r="Z237">
        <v>141.5</v>
      </c>
      <c r="AA237">
        <v>120.8</v>
      </c>
      <c r="AB237" s="1">
        <f t="shared" si="10"/>
        <v>134</v>
      </c>
      <c r="AC237">
        <v>135.4</v>
      </c>
      <c r="AD237">
        <v>151.5</v>
      </c>
      <c r="AE237">
        <v>137.80000000000001</v>
      </c>
      <c r="AF237">
        <f t="shared" si="11"/>
        <v>139.65</v>
      </c>
      <c r="AG237">
        <v>135.30000000000001</v>
      </c>
      <c r="AH237">
        <v>144.19999999999999</v>
      </c>
      <c r="AI237">
        <f t="shared" si="12"/>
        <v>139.75</v>
      </c>
    </row>
    <row r="238" spans="1:35" x14ac:dyDescent="0.25">
      <c r="A238" t="s">
        <v>31</v>
      </c>
      <c r="B238">
        <v>2019</v>
      </c>
      <c r="C238" t="s">
        <v>38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 s="1">
        <f>AVERAGE(Table1[[#This Row],[Cereals and products]:[Food and beverages]])</f>
        <v>142.03846153846155</v>
      </c>
      <c r="R238">
        <v>165.8</v>
      </c>
      <c r="S238">
        <v>149.1</v>
      </c>
      <c r="T238">
        <v>140.6</v>
      </c>
      <c r="U238">
        <v>147.9</v>
      </c>
      <c r="V238" s="1">
        <f>AVERAGE(Table1[[#This Row],[Clothing]:[Clothing and footwear]])</f>
        <v>145.86666666666667</v>
      </c>
      <c r="W238">
        <v>151.6</v>
      </c>
      <c r="X238">
        <v>138.5</v>
      </c>
      <c r="Y238">
        <v>144.5</v>
      </c>
      <c r="Z238">
        <v>148.5</v>
      </c>
      <c r="AA238">
        <v>125.8</v>
      </c>
      <c r="AB238" s="1">
        <f t="shared" si="10"/>
        <v>140.1</v>
      </c>
      <c r="AC238">
        <v>140.9</v>
      </c>
      <c r="AD238">
        <v>154.9</v>
      </c>
      <c r="AE238">
        <v>138.4</v>
      </c>
      <c r="AF238">
        <f t="shared" si="11"/>
        <v>143.44999999999999</v>
      </c>
      <c r="AG238">
        <v>140.19999999999999</v>
      </c>
      <c r="AH238">
        <v>145</v>
      </c>
      <c r="AI238">
        <f t="shared" si="12"/>
        <v>142.6</v>
      </c>
    </row>
    <row r="239" spans="1:35" x14ac:dyDescent="0.25">
      <c r="A239" t="s">
        <v>28</v>
      </c>
      <c r="B239">
        <v>2019</v>
      </c>
      <c r="C239" t="s">
        <v>39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 s="1">
        <f>AVERAGE(Table1[[#This Row],[Cereals and products]:[Food and beverages]])</f>
        <v>142.2076923076923</v>
      </c>
      <c r="R239">
        <v>165.7</v>
      </c>
      <c r="S239">
        <v>151.69999999999999</v>
      </c>
      <c r="T239">
        <v>146.6</v>
      </c>
      <c r="U239">
        <v>151</v>
      </c>
      <c r="V239" s="1">
        <f>AVERAGE(Table1[[#This Row],[Clothing]:[Clothing and footwear]])</f>
        <v>149.76666666666665</v>
      </c>
      <c r="X239">
        <v>146.9</v>
      </c>
      <c r="Y239">
        <v>150.30000000000001</v>
      </c>
      <c r="Z239">
        <v>153.4</v>
      </c>
      <c r="AA239">
        <v>131.6</v>
      </c>
      <c r="AB239" s="1">
        <f t="shared" si="10"/>
        <v>142.93333333333337</v>
      </c>
      <c r="AC239">
        <v>148.30000000000001</v>
      </c>
      <c r="AD239">
        <v>160.19999999999999</v>
      </c>
      <c r="AE239">
        <v>140.19999999999999</v>
      </c>
      <c r="AF239">
        <f t="shared" si="11"/>
        <v>146.80000000000001</v>
      </c>
      <c r="AG239">
        <v>145.4</v>
      </c>
      <c r="AH239">
        <v>146.69999999999999</v>
      </c>
      <c r="AI239">
        <f t="shared" si="12"/>
        <v>146.05000000000001</v>
      </c>
    </row>
    <row r="240" spans="1:35" x14ac:dyDescent="0.25">
      <c r="A240" t="s">
        <v>30</v>
      </c>
      <c r="B240">
        <v>2019</v>
      </c>
      <c r="C240" t="s">
        <v>39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 s="1">
        <f>AVERAGE(Table1[[#This Row],[Cereals and products]:[Food and beverages]])</f>
        <v>144.22307692307692</v>
      </c>
      <c r="R240">
        <v>168.6</v>
      </c>
      <c r="S240">
        <v>145.30000000000001</v>
      </c>
      <c r="T240">
        <v>132.19999999999999</v>
      </c>
      <c r="U240">
        <v>143.30000000000001</v>
      </c>
      <c r="V240" s="1">
        <f>AVERAGE(Table1[[#This Row],[Clothing]:[Clothing and footwear]])</f>
        <v>140.26666666666668</v>
      </c>
      <c r="W240">
        <v>152.19999999999999</v>
      </c>
      <c r="X240">
        <v>126.6</v>
      </c>
      <c r="Y240">
        <v>138.30000000000001</v>
      </c>
      <c r="Z240">
        <v>141.9</v>
      </c>
      <c r="AA240">
        <v>121.2</v>
      </c>
      <c r="AB240" s="1">
        <f t="shared" si="10"/>
        <v>134.57499999999999</v>
      </c>
      <c r="AC240">
        <v>135.9</v>
      </c>
      <c r="AD240">
        <v>151.6</v>
      </c>
      <c r="AE240">
        <v>139</v>
      </c>
      <c r="AF240">
        <f t="shared" si="11"/>
        <v>140.44999999999999</v>
      </c>
      <c r="AG240">
        <v>135.69999999999999</v>
      </c>
      <c r="AH240">
        <v>144.69999999999999</v>
      </c>
      <c r="AI240">
        <f t="shared" si="12"/>
        <v>140.19999999999999</v>
      </c>
    </row>
    <row r="241" spans="1:35" x14ac:dyDescent="0.25">
      <c r="A241" t="s">
        <v>31</v>
      </c>
      <c r="B241">
        <v>2019</v>
      </c>
      <c r="C241" t="s">
        <v>39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 s="1">
        <f>AVERAGE(Table1[[#This Row],[Cereals and products]:[Food and beverages]])</f>
        <v>142.89999999999998</v>
      </c>
      <c r="R241">
        <v>166.5</v>
      </c>
      <c r="S241">
        <v>149.19999999999999</v>
      </c>
      <c r="T241">
        <v>140.6</v>
      </c>
      <c r="U241">
        <v>147.9</v>
      </c>
      <c r="V241" s="1">
        <f>AVERAGE(Table1[[#This Row],[Clothing]:[Clothing and footwear]])</f>
        <v>145.89999999999998</v>
      </c>
      <c r="W241">
        <v>152.19999999999999</v>
      </c>
      <c r="X241">
        <v>139.19999999999999</v>
      </c>
      <c r="Y241">
        <v>144.6</v>
      </c>
      <c r="Z241">
        <v>149</v>
      </c>
      <c r="AA241">
        <v>126.1</v>
      </c>
      <c r="AB241" s="1">
        <f t="shared" si="10"/>
        <v>140.52500000000001</v>
      </c>
      <c r="AC241">
        <v>141.30000000000001</v>
      </c>
      <c r="AD241">
        <v>155.19999999999999</v>
      </c>
      <c r="AE241">
        <v>139.69999999999999</v>
      </c>
      <c r="AF241">
        <f t="shared" si="11"/>
        <v>144.35</v>
      </c>
      <c r="AG241">
        <v>140.69999999999999</v>
      </c>
      <c r="AH241">
        <v>145.80000000000001</v>
      </c>
      <c r="AI241">
        <f t="shared" si="12"/>
        <v>143.25</v>
      </c>
    </row>
    <row r="242" spans="1:35" x14ac:dyDescent="0.25">
      <c r="A242" t="s">
        <v>28</v>
      </c>
      <c r="B242">
        <v>2019</v>
      </c>
      <c r="C242" t="s">
        <v>40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 s="1">
        <f>AVERAGE(Table1[[#This Row],[Cereals and products]:[Food and beverages]])</f>
        <v>144.37692307692305</v>
      </c>
      <c r="R242">
        <v>166.3</v>
      </c>
      <c r="S242">
        <v>151.69999999999999</v>
      </c>
      <c r="T242">
        <v>146.69999999999999</v>
      </c>
      <c r="U242">
        <v>151</v>
      </c>
      <c r="V242" s="1">
        <f>AVERAGE(Table1[[#This Row],[Clothing]:[Clothing and footwear]])</f>
        <v>149.79999999999998</v>
      </c>
      <c r="X242">
        <v>147.69999999999999</v>
      </c>
      <c r="Y242">
        <v>150.6</v>
      </c>
      <c r="Z242">
        <v>153.69999999999999</v>
      </c>
      <c r="AA242">
        <v>131.69999999999999</v>
      </c>
      <c r="AB242" s="1">
        <f t="shared" si="10"/>
        <v>143.33333333333331</v>
      </c>
      <c r="AC242">
        <v>148.69999999999999</v>
      </c>
      <c r="AD242">
        <v>160.69999999999999</v>
      </c>
      <c r="AE242">
        <v>140.30000000000001</v>
      </c>
      <c r="AF242">
        <f t="shared" si="11"/>
        <v>147</v>
      </c>
      <c r="AG242">
        <v>145.69999999999999</v>
      </c>
      <c r="AH242">
        <v>148.30000000000001</v>
      </c>
      <c r="AI242">
        <f t="shared" si="12"/>
        <v>147</v>
      </c>
    </row>
    <row r="243" spans="1:35" x14ac:dyDescent="0.25">
      <c r="A243" t="s">
        <v>30</v>
      </c>
      <c r="B243">
        <v>2019</v>
      </c>
      <c r="C243" t="s">
        <v>40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 s="1">
        <f>AVERAGE(Table1[[#This Row],[Cereals and products]:[Food and beverages]])</f>
        <v>146.35384615384618</v>
      </c>
      <c r="R243">
        <v>169.3</v>
      </c>
      <c r="S243">
        <v>145.9</v>
      </c>
      <c r="T243">
        <v>132.4</v>
      </c>
      <c r="U243">
        <v>143.9</v>
      </c>
      <c r="V243" s="1">
        <f>AVERAGE(Table1[[#This Row],[Clothing]:[Clothing and footwear]])</f>
        <v>140.73333333333335</v>
      </c>
      <c r="W243">
        <v>153</v>
      </c>
      <c r="X243">
        <v>128.9</v>
      </c>
      <c r="Y243">
        <v>138.69999999999999</v>
      </c>
      <c r="Z243">
        <v>142.4</v>
      </c>
      <c r="AA243">
        <v>121.5</v>
      </c>
      <c r="AB243" s="1">
        <f t="shared" si="10"/>
        <v>135.52499999999998</v>
      </c>
      <c r="AC243">
        <v>136.19999999999999</v>
      </c>
      <c r="AD243">
        <v>151.69999999999999</v>
      </c>
      <c r="AE243">
        <v>139.5</v>
      </c>
      <c r="AF243">
        <f t="shared" si="11"/>
        <v>140.94999999999999</v>
      </c>
      <c r="AG243">
        <v>136</v>
      </c>
      <c r="AH243">
        <v>146</v>
      </c>
      <c r="AI243">
        <f t="shared" si="12"/>
        <v>141</v>
      </c>
    </row>
    <row r="244" spans="1:35" x14ac:dyDescent="0.25">
      <c r="A244" t="s">
        <v>31</v>
      </c>
      <c r="B244">
        <v>2019</v>
      </c>
      <c r="C244" t="s">
        <v>40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 s="1">
        <f>AVERAGE(Table1[[#This Row],[Cereals and products]:[Food and beverages]])</f>
        <v>145.04615384615383</v>
      </c>
      <c r="R244">
        <v>167.1</v>
      </c>
      <c r="S244">
        <v>149.4</v>
      </c>
      <c r="T244">
        <v>140.80000000000001</v>
      </c>
      <c r="U244">
        <v>148.19999999999999</v>
      </c>
      <c r="V244" s="1">
        <f>AVERAGE(Table1[[#This Row],[Clothing]:[Clothing and footwear]])</f>
        <v>146.13333333333335</v>
      </c>
      <c r="W244">
        <v>153</v>
      </c>
      <c r="X244">
        <v>140.6</v>
      </c>
      <c r="Y244">
        <v>145</v>
      </c>
      <c r="Z244">
        <v>149.4</v>
      </c>
      <c r="AA244">
        <v>126.3</v>
      </c>
      <c r="AB244" s="1">
        <f t="shared" si="10"/>
        <v>141.22499999999999</v>
      </c>
      <c r="AC244">
        <v>141.69999999999999</v>
      </c>
      <c r="AD244">
        <v>155.4</v>
      </c>
      <c r="AE244">
        <v>140</v>
      </c>
      <c r="AF244">
        <f t="shared" si="11"/>
        <v>144.69999999999999</v>
      </c>
      <c r="AG244">
        <v>141</v>
      </c>
      <c r="AH244">
        <v>147.19999999999999</v>
      </c>
      <c r="AI244">
        <f t="shared" si="12"/>
        <v>144.1</v>
      </c>
    </row>
    <row r="245" spans="1:35" x14ac:dyDescent="0.25">
      <c r="A245" t="s">
        <v>28</v>
      </c>
      <c r="B245">
        <v>2019</v>
      </c>
      <c r="C245" t="s">
        <v>42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 s="1">
        <f>AVERAGE(Table1[[#This Row],[Cereals and products]:[Food and beverages]])</f>
        <v>146.50769230769231</v>
      </c>
      <c r="R245">
        <v>167.2</v>
      </c>
      <c r="S245">
        <v>152.30000000000001</v>
      </c>
      <c r="T245">
        <v>147</v>
      </c>
      <c r="U245">
        <v>151.5</v>
      </c>
      <c r="V245" s="1">
        <f>AVERAGE(Table1[[#This Row],[Clothing]:[Clothing and footwear]])</f>
        <v>150.26666666666668</v>
      </c>
      <c r="X245">
        <v>148.4</v>
      </c>
      <c r="Y245">
        <v>150.9</v>
      </c>
      <c r="Z245">
        <v>154.30000000000001</v>
      </c>
      <c r="AA245">
        <v>132.1</v>
      </c>
      <c r="AB245" s="1">
        <f t="shared" si="10"/>
        <v>143.79999999999998</v>
      </c>
      <c r="AC245">
        <v>149.1</v>
      </c>
      <c r="AD245">
        <v>160.80000000000001</v>
      </c>
      <c r="AE245">
        <v>140.6</v>
      </c>
      <c r="AF245">
        <f t="shared" si="11"/>
        <v>147.44999999999999</v>
      </c>
      <c r="AG245">
        <v>146.1</v>
      </c>
      <c r="AH245">
        <v>149.9</v>
      </c>
      <c r="AI245">
        <f t="shared" si="12"/>
        <v>148</v>
      </c>
    </row>
    <row r="246" spans="1:35" x14ac:dyDescent="0.25">
      <c r="A246" t="s">
        <v>30</v>
      </c>
      <c r="B246">
        <v>2019</v>
      </c>
      <c r="C246" t="s">
        <v>42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 s="1">
        <f>AVERAGE(Table1[[#This Row],[Cereals and products]:[Food and beverages]])</f>
        <v>147.99999999999997</v>
      </c>
      <c r="R246">
        <v>169.9</v>
      </c>
      <c r="S246">
        <v>146.30000000000001</v>
      </c>
      <c r="T246">
        <v>132.6</v>
      </c>
      <c r="U246">
        <v>144.19999999999999</v>
      </c>
      <c r="V246" s="1">
        <f>AVERAGE(Table1[[#This Row],[Clothing]:[Clothing and footwear]])</f>
        <v>141.03333333333333</v>
      </c>
      <c r="W246">
        <v>153.5</v>
      </c>
      <c r="X246">
        <v>132.19999999999999</v>
      </c>
      <c r="Y246">
        <v>139.1</v>
      </c>
      <c r="Z246">
        <v>142.80000000000001</v>
      </c>
      <c r="AA246">
        <v>121.7</v>
      </c>
      <c r="AB246" s="1">
        <f t="shared" si="10"/>
        <v>136.625</v>
      </c>
      <c r="AC246">
        <v>136.69999999999999</v>
      </c>
      <c r="AD246">
        <v>151.80000000000001</v>
      </c>
      <c r="AE246">
        <v>139.80000000000001</v>
      </c>
      <c r="AF246">
        <f t="shared" si="11"/>
        <v>141.30000000000001</v>
      </c>
      <c r="AG246">
        <v>136.30000000000001</v>
      </c>
      <c r="AH246">
        <v>147</v>
      </c>
      <c r="AI246">
        <f t="shared" si="12"/>
        <v>141.65</v>
      </c>
    </row>
    <row r="247" spans="1:35" x14ac:dyDescent="0.25">
      <c r="A247" t="s">
        <v>31</v>
      </c>
      <c r="B247">
        <v>2019</v>
      </c>
      <c r="C247" t="s">
        <v>42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 s="1">
        <f>AVERAGE(Table1[[#This Row],[Cereals and products]:[Food and beverages]])</f>
        <v>146.99230769230769</v>
      </c>
      <c r="R247">
        <v>167.9</v>
      </c>
      <c r="S247">
        <v>149.9</v>
      </c>
      <c r="T247">
        <v>141</v>
      </c>
      <c r="U247">
        <v>148.6</v>
      </c>
      <c r="V247" s="1">
        <f>AVERAGE(Table1[[#This Row],[Clothing]:[Clothing and footwear]])</f>
        <v>146.5</v>
      </c>
      <c r="W247">
        <v>153.5</v>
      </c>
      <c r="X247">
        <v>142.30000000000001</v>
      </c>
      <c r="Y247">
        <v>145.30000000000001</v>
      </c>
      <c r="Z247">
        <v>149.9</v>
      </c>
      <c r="AA247">
        <v>126.6</v>
      </c>
      <c r="AB247" s="1">
        <f t="shared" si="10"/>
        <v>141.92500000000001</v>
      </c>
      <c r="AC247">
        <v>142.1</v>
      </c>
      <c r="AD247">
        <v>155.5</v>
      </c>
      <c r="AE247">
        <v>140.30000000000001</v>
      </c>
      <c r="AF247">
        <f t="shared" si="11"/>
        <v>145.10000000000002</v>
      </c>
      <c r="AG247">
        <v>141.30000000000001</v>
      </c>
      <c r="AH247">
        <v>148.6</v>
      </c>
      <c r="AI247">
        <f t="shared" si="12"/>
        <v>144.94999999999999</v>
      </c>
    </row>
    <row r="248" spans="1:35" x14ac:dyDescent="0.25">
      <c r="A248" t="s">
        <v>28</v>
      </c>
      <c r="B248">
        <v>2019</v>
      </c>
      <c r="C248" t="s">
        <v>43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 s="1">
        <f>AVERAGE(Table1[[#This Row],[Cereals and products]:[Food and beverages]])</f>
        <v>149.30769230769226</v>
      </c>
      <c r="R248">
        <v>167.8</v>
      </c>
      <c r="S248">
        <v>152.6</v>
      </c>
      <c r="T248">
        <v>147.30000000000001</v>
      </c>
      <c r="U248">
        <v>151.9</v>
      </c>
      <c r="V248" s="1">
        <f>AVERAGE(Table1[[#This Row],[Clothing]:[Clothing and footwear]])</f>
        <v>150.6</v>
      </c>
      <c r="X248">
        <v>149.9</v>
      </c>
      <c r="Y248">
        <v>151.19999999999999</v>
      </c>
      <c r="Z248">
        <v>154.80000000000001</v>
      </c>
      <c r="AA248">
        <v>135</v>
      </c>
      <c r="AB248" s="1">
        <f t="shared" si="10"/>
        <v>145.36666666666667</v>
      </c>
      <c r="AC248">
        <v>149.5</v>
      </c>
      <c r="AD248">
        <v>161.1</v>
      </c>
      <c r="AE248">
        <v>140.6</v>
      </c>
      <c r="AF248">
        <f t="shared" si="11"/>
        <v>147.69999999999999</v>
      </c>
      <c r="AG248">
        <v>147.1</v>
      </c>
      <c r="AH248">
        <v>152.30000000000001</v>
      </c>
      <c r="AI248">
        <f t="shared" si="12"/>
        <v>149.69999999999999</v>
      </c>
    </row>
    <row r="249" spans="1:35" x14ac:dyDescent="0.25">
      <c r="A249" t="s">
        <v>30</v>
      </c>
      <c r="B249">
        <v>2019</v>
      </c>
      <c r="C249" t="s">
        <v>43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 s="1">
        <f>AVERAGE(Table1[[#This Row],[Cereals and products]:[Food and beverages]])</f>
        <v>150.51538461538462</v>
      </c>
      <c r="R249">
        <v>170.4</v>
      </c>
      <c r="S249">
        <v>146.80000000000001</v>
      </c>
      <c r="T249">
        <v>132.80000000000001</v>
      </c>
      <c r="U249">
        <v>144.6</v>
      </c>
      <c r="V249" s="1">
        <f>AVERAGE(Table1[[#This Row],[Clothing]:[Clothing and footwear]])</f>
        <v>141.4</v>
      </c>
      <c r="W249">
        <v>152.80000000000001</v>
      </c>
      <c r="X249">
        <v>133.6</v>
      </c>
      <c r="Y249">
        <v>139.80000000000001</v>
      </c>
      <c r="Z249">
        <v>143.19999999999999</v>
      </c>
      <c r="AA249">
        <v>125.2</v>
      </c>
      <c r="AB249" s="1">
        <f t="shared" si="10"/>
        <v>137.85</v>
      </c>
      <c r="AC249">
        <v>136.80000000000001</v>
      </c>
      <c r="AD249">
        <v>151.9</v>
      </c>
      <c r="AE249">
        <v>140.19999999999999</v>
      </c>
      <c r="AF249">
        <f t="shared" si="11"/>
        <v>141.69999999999999</v>
      </c>
      <c r="AG249">
        <v>137.69999999999999</v>
      </c>
      <c r="AH249">
        <v>148.30000000000001</v>
      </c>
      <c r="AI249">
        <f t="shared" si="12"/>
        <v>143</v>
      </c>
    </row>
    <row r="250" spans="1:35" x14ac:dyDescent="0.25">
      <c r="A250" t="s">
        <v>31</v>
      </c>
      <c r="B250">
        <v>2019</v>
      </c>
      <c r="C250" t="s">
        <v>43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 s="1">
        <f>AVERAGE(Table1[[#This Row],[Cereals and products]:[Food and beverages]])</f>
        <v>149.70000000000002</v>
      </c>
      <c r="R250">
        <v>168.5</v>
      </c>
      <c r="S250">
        <v>150.30000000000001</v>
      </c>
      <c r="T250">
        <v>141.30000000000001</v>
      </c>
      <c r="U250">
        <v>149</v>
      </c>
      <c r="V250" s="1">
        <f>AVERAGE(Table1[[#This Row],[Clothing]:[Clothing and footwear]])</f>
        <v>146.86666666666667</v>
      </c>
      <c r="W250">
        <v>152.80000000000001</v>
      </c>
      <c r="X250">
        <v>143.69999999999999</v>
      </c>
      <c r="Y250">
        <v>145.80000000000001</v>
      </c>
      <c r="Z250">
        <v>150.4</v>
      </c>
      <c r="AA250">
        <v>129.80000000000001</v>
      </c>
      <c r="AB250" s="1">
        <f t="shared" si="10"/>
        <v>143.02500000000001</v>
      </c>
      <c r="AC250">
        <v>142.30000000000001</v>
      </c>
      <c r="AD250">
        <v>155.69999999999999</v>
      </c>
      <c r="AE250">
        <v>140.4</v>
      </c>
      <c r="AF250">
        <f t="shared" si="11"/>
        <v>145.4</v>
      </c>
      <c r="AG250">
        <v>142.5</v>
      </c>
      <c r="AH250">
        <v>150.4</v>
      </c>
      <c r="AI250">
        <f t="shared" si="12"/>
        <v>146.44999999999999</v>
      </c>
    </row>
    <row r="251" spans="1:35" x14ac:dyDescent="0.25">
      <c r="A251" t="s">
        <v>28</v>
      </c>
      <c r="B251">
        <v>2020</v>
      </c>
      <c r="C251" t="s">
        <v>29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 s="1">
        <f>AVERAGE(Table1[[#This Row],[Cereals and products]:[Food and beverages]])</f>
        <v>149.12307692307692</v>
      </c>
      <c r="R251">
        <v>168.6</v>
      </c>
      <c r="S251">
        <v>152.80000000000001</v>
      </c>
      <c r="T251">
        <v>147.4</v>
      </c>
      <c r="U251">
        <v>152.1</v>
      </c>
      <c r="V251" s="1">
        <f>AVERAGE(Table1[[#This Row],[Clothing]:[Clothing and footwear]])</f>
        <v>150.76666666666668</v>
      </c>
      <c r="X251">
        <v>150.4</v>
      </c>
      <c r="Y251">
        <v>151.69999999999999</v>
      </c>
      <c r="Z251">
        <v>155.69999999999999</v>
      </c>
      <c r="AA251">
        <v>136.30000000000001</v>
      </c>
      <c r="AB251" s="1">
        <f t="shared" si="10"/>
        <v>146.13333333333335</v>
      </c>
      <c r="AC251">
        <v>150.1</v>
      </c>
      <c r="AD251">
        <v>161.69999999999999</v>
      </c>
      <c r="AE251">
        <v>142.5</v>
      </c>
      <c r="AF251">
        <f t="shared" si="11"/>
        <v>149.1</v>
      </c>
      <c r="AG251">
        <v>148.1</v>
      </c>
      <c r="AH251">
        <v>151.9</v>
      </c>
      <c r="AI251">
        <f t="shared" si="12"/>
        <v>150</v>
      </c>
    </row>
    <row r="252" spans="1:35" x14ac:dyDescent="0.25">
      <c r="A252" t="s">
        <v>30</v>
      </c>
      <c r="B252">
        <v>2020</v>
      </c>
      <c r="C252" t="s">
        <v>29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 s="1">
        <f>AVERAGE(Table1[[#This Row],[Cereals and products]:[Food and beverages]])</f>
        <v>149.64615384615382</v>
      </c>
      <c r="R252">
        <v>170.8</v>
      </c>
      <c r="S252">
        <v>147</v>
      </c>
      <c r="T252">
        <v>133.19999999999999</v>
      </c>
      <c r="U252">
        <v>144.9</v>
      </c>
      <c r="V252" s="1">
        <f>AVERAGE(Table1[[#This Row],[Clothing]:[Clothing and footwear]])</f>
        <v>141.70000000000002</v>
      </c>
      <c r="W252">
        <v>153.9</v>
      </c>
      <c r="X252">
        <v>135.1</v>
      </c>
      <c r="Y252">
        <v>140.1</v>
      </c>
      <c r="Z252">
        <v>143.80000000000001</v>
      </c>
      <c r="AA252">
        <v>126.1</v>
      </c>
      <c r="AB252" s="1">
        <f t="shared" si="10"/>
        <v>138.80000000000001</v>
      </c>
      <c r="AC252">
        <v>137.19999999999999</v>
      </c>
      <c r="AD252">
        <v>152.1</v>
      </c>
      <c r="AE252">
        <v>142.1</v>
      </c>
      <c r="AF252">
        <f t="shared" si="11"/>
        <v>142.94999999999999</v>
      </c>
      <c r="AG252">
        <v>138.4</v>
      </c>
      <c r="AH252">
        <v>148.19999999999999</v>
      </c>
      <c r="AI252">
        <f t="shared" si="12"/>
        <v>143.30000000000001</v>
      </c>
    </row>
    <row r="253" spans="1:35" x14ac:dyDescent="0.25">
      <c r="A253" t="s">
        <v>31</v>
      </c>
      <c r="B253">
        <v>2020</v>
      </c>
      <c r="C253" t="s">
        <v>29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 s="1">
        <f>AVERAGE(Table1[[#This Row],[Cereals and products]:[Food and beverages]])</f>
        <v>149.26153846153846</v>
      </c>
      <c r="R253">
        <v>169.2</v>
      </c>
      <c r="S253">
        <v>150.5</v>
      </c>
      <c r="T253">
        <v>141.5</v>
      </c>
      <c r="U253">
        <v>149.19999999999999</v>
      </c>
      <c r="V253" s="1">
        <f>AVERAGE(Table1[[#This Row],[Clothing]:[Clothing and footwear]])</f>
        <v>147.06666666666666</v>
      </c>
      <c r="W253">
        <v>153.9</v>
      </c>
      <c r="X253">
        <v>144.6</v>
      </c>
      <c r="Y253">
        <v>146.19999999999999</v>
      </c>
      <c r="Z253">
        <v>151.19999999999999</v>
      </c>
      <c r="AA253">
        <v>130.9</v>
      </c>
      <c r="AB253" s="1">
        <f t="shared" si="10"/>
        <v>143.9</v>
      </c>
      <c r="AC253">
        <v>142.80000000000001</v>
      </c>
      <c r="AD253">
        <v>156.1</v>
      </c>
      <c r="AE253">
        <v>142.30000000000001</v>
      </c>
      <c r="AF253">
        <f t="shared" si="11"/>
        <v>146.75</v>
      </c>
      <c r="AG253">
        <v>143.4</v>
      </c>
      <c r="AH253">
        <v>150.19999999999999</v>
      </c>
      <c r="AI253">
        <f t="shared" si="12"/>
        <v>146.80000000000001</v>
      </c>
    </row>
    <row r="254" spans="1:35" x14ac:dyDescent="0.25">
      <c r="A254" t="s">
        <v>28</v>
      </c>
      <c r="B254">
        <v>2020</v>
      </c>
      <c r="C254" t="s">
        <v>32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 s="1">
        <f>AVERAGE(Table1[[#This Row],[Cereals and products]:[Food and beverages]])</f>
        <v>146.90769230769229</v>
      </c>
      <c r="R254">
        <v>169.4</v>
      </c>
      <c r="S254">
        <v>153</v>
      </c>
      <c r="T254">
        <v>147.5</v>
      </c>
      <c r="U254">
        <v>152.30000000000001</v>
      </c>
      <c r="V254" s="1">
        <f>AVERAGE(Table1[[#This Row],[Clothing]:[Clothing and footwear]])</f>
        <v>150.93333333333334</v>
      </c>
      <c r="X254">
        <v>152.30000000000001</v>
      </c>
      <c r="Y254">
        <v>151.80000000000001</v>
      </c>
      <c r="Z254">
        <v>156.19999999999999</v>
      </c>
      <c r="AA254">
        <v>136</v>
      </c>
      <c r="AB254" s="1">
        <f t="shared" si="10"/>
        <v>146.70000000000002</v>
      </c>
      <c r="AC254">
        <v>150.4</v>
      </c>
      <c r="AD254">
        <v>161.9</v>
      </c>
      <c r="AE254">
        <v>143.4</v>
      </c>
      <c r="AF254">
        <f t="shared" si="11"/>
        <v>149.80000000000001</v>
      </c>
      <c r="AG254">
        <v>148.4</v>
      </c>
      <c r="AH254">
        <v>150.4</v>
      </c>
      <c r="AI254">
        <f t="shared" si="12"/>
        <v>149.4</v>
      </c>
    </row>
    <row r="255" spans="1:35" x14ac:dyDescent="0.25">
      <c r="A255" t="s">
        <v>30</v>
      </c>
      <c r="B255">
        <v>2020</v>
      </c>
      <c r="C255" t="s">
        <v>32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 s="1">
        <f>AVERAGE(Table1[[#This Row],[Cereals and products]:[Food and beverages]])</f>
        <v>147.43076923076922</v>
      </c>
      <c r="R255">
        <v>172</v>
      </c>
      <c r="S255">
        <v>147.30000000000001</v>
      </c>
      <c r="T255">
        <v>133.5</v>
      </c>
      <c r="U255">
        <v>145.19999999999999</v>
      </c>
      <c r="V255" s="1">
        <f>AVERAGE(Table1[[#This Row],[Clothing]:[Clothing and footwear]])</f>
        <v>142</v>
      </c>
      <c r="W255">
        <v>154.80000000000001</v>
      </c>
      <c r="X255">
        <v>138.9</v>
      </c>
      <c r="Y255">
        <v>140.4</v>
      </c>
      <c r="Z255">
        <v>144.4</v>
      </c>
      <c r="AA255">
        <v>125.2</v>
      </c>
      <c r="AB255" s="1">
        <f t="shared" si="10"/>
        <v>139.82500000000002</v>
      </c>
      <c r="AC255">
        <v>137.69999999999999</v>
      </c>
      <c r="AD255">
        <v>152.19999999999999</v>
      </c>
      <c r="AE255">
        <v>143.5</v>
      </c>
      <c r="AF255">
        <f t="shared" si="11"/>
        <v>143.94999999999999</v>
      </c>
      <c r="AG255">
        <v>138.4</v>
      </c>
      <c r="AH255">
        <v>147.69999999999999</v>
      </c>
      <c r="AI255">
        <f t="shared" si="12"/>
        <v>143.05000000000001</v>
      </c>
    </row>
    <row r="256" spans="1:35" x14ac:dyDescent="0.25">
      <c r="A256" t="s">
        <v>31</v>
      </c>
      <c r="B256">
        <v>2020</v>
      </c>
      <c r="C256" t="s">
        <v>32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 s="1">
        <f>AVERAGE(Table1[[#This Row],[Cereals and products]:[Food and beverages]])</f>
        <v>147.04615384615383</v>
      </c>
      <c r="R256">
        <v>170.1</v>
      </c>
      <c r="S256">
        <v>150.80000000000001</v>
      </c>
      <c r="T256">
        <v>141.69999999999999</v>
      </c>
      <c r="U256">
        <v>149.5</v>
      </c>
      <c r="V256" s="1">
        <f>AVERAGE(Table1[[#This Row],[Clothing]:[Clothing and footwear]])</f>
        <v>147.33333333333334</v>
      </c>
      <c r="W256">
        <v>154.80000000000001</v>
      </c>
      <c r="X256">
        <v>147.19999999999999</v>
      </c>
      <c r="Y256">
        <v>146.4</v>
      </c>
      <c r="Z256">
        <v>151.69999999999999</v>
      </c>
      <c r="AA256">
        <v>130.30000000000001</v>
      </c>
      <c r="AB256" s="1">
        <f t="shared" si="10"/>
        <v>144.67500000000001</v>
      </c>
      <c r="AC256">
        <v>143.19999999999999</v>
      </c>
      <c r="AD256">
        <v>156.19999999999999</v>
      </c>
      <c r="AE256">
        <v>143.4</v>
      </c>
      <c r="AF256">
        <f t="shared" si="11"/>
        <v>147.55000000000001</v>
      </c>
      <c r="AG256">
        <v>143.6</v>
      </c>
      <c r="AH256">
        <v>149.1</v>
      </c>
      <c r="AI256">
        <f t="shared" si="12"/>
        <v>146.35</v>
      </c>
    </row>
    <row r="257" spans="1:35" x14ac:dyDescent="0.25">
      <c r="A257" t="s">
        <v>28</v>
      </c>
      <c r="B257">
        <v>2020</v>
      </c>
      <c r="C257" t="s">
        <v>33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 s="1">
        <f>AVERAGE(Table1[[#This Row],[Cereals and products]:[Food and beverages]])</f>
        <v>145.73846153846151</v>
      </c>
      <c r="R257">
        <v>170.5</v>
      </c>
      <c r="S257">
        <v>153.4</v>
      </c>
      <c r="T257">
        <v>147.6</v>
      </c>
      <c r="U257">
        <v>152.5</v>
      </c>
      <c r="V257" s="1">
        <f>AVERAGE(Table1[[#This Row],[Clothing]:[Clothing and footwear]])</f>
        <v>151.16666666666666</v>
      </c>
      <c r="X257">
        <v>153.4</v>
      </c>
      <c r="Y257">
        <v>151.5</v>
      </c>
      <c r="Z257">
        <v>156.69999999999999</v>
      </c>
      <c r="AA257">
        <v>135.80000000000001</v>
      </c>
      <c r="AB257" s="1">
        <f t="shared" si="10"/>
        <v>146.9</v>
      </c>
      <c r="AC257">
        <v>151.19999999999999</v>
      </c>
      <c r="AD257">
        <v>161.19999999999999</v>
      </c>
      <c r="AE257">
        <v>145.1</v>
      </c>
      <c r="AF257">
        <f t="shared" si="11"/>
        <v>150.89999999999998</v>
      </c>
      <c r="AG257">
        <v>148.6</v>
      </c>
      <c r="AH257">
        <v>149.80000000000001</v>
      </c>
      <c r="AI257">
        <f t="shared" si="12"/>
        <v>149.19999999999999</v>
      </c>
    </row>
    <row r="258" spans="1:35" x14ac:dyDescent="0.25">
      <c r="A258" t="s">
        <v>30</v>
      </c>
      <c r="B258">
        <v>2020</v>
      </c>
      <c r="C258" t="s">
        <v>33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 s="1">
        <f>AVERAGE(Table1[[#This Row],[Cereals and products]:[Food and beverages]])</f>
        <v>146.03846153846155</v>
      </c>
      <c r="R258">
        <v>173.3</v>
      </c>
      <c r="S258">
        <v>147.69999999999999</v>
      </c>
      <c r="T258">
        <v>133.80000000000001</v>
      </c>
      <c r="U258">
        <v>145.6</v>
      </c>
      <c r="V258" s="1">
        <f>AVERAGE(Table1[[#This Row],[Clothing]:[Clothing and footwear]])</f>
        <v>142.36666666666667</v>
      </c>
      <c r="W258">
        <v>154.5</v>
      </c>
      <c r="X258">
        <v>141.4</v>
      </c>
      <c r="Y258">
        <v>140.80000000000001</v>
      </c>
      <c r="Z258">
        <v>145</v>
      </c>
      <c r="AA258">
        <v>124.6</v>
      </c>
      <c r="AB258" s="1">
        <f t="shared" ref="AB258:AB321" si="13">AVERAGE(W258,X258,Y258,AA258)</f>
        <v>140.32499999999999</v>
      </c>
      <c r="AC258">
        <v>137.9</v>
      </c>
      <c r="AD258">
        <v>152.5</v>
      </c>
      <c r="AE258">
        <v>145.30000000000001</v>
      </c>
      <c r="AF258">
        <f t="shared" ref="AF258:AF321" si="14">AVERAGE(Z258,AE258)</f>
        <v>145.15</v>
      </c>
      <c r="AG258">
        <v>138.69999999999999</v>
      </c>
      <c r="AH258">
        <v>147.30000000000001</v>
      </c>
      <c r="AI258">
        <f t="shared" ref="AI258:AI321" si="15">AVERAGE(AG258,AH258)</f>
        <v>143</v>
      </c>
    </row>
    <row r="259" spans="1:35" x14ac:dyDescent="0.25">
      <c r="A259" t="s">
        <v>31</v>
      </c>
      <c r="B259">
        <v>2020</v>
      </c>
      <c r="C259" t="s">
        <v>33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 s="1">
        <f>AVERAGE(Table1[[#This Row],[Cereals and products]:[Food and beverages]])</f>
        <v>145.80000000000001</v>
      </c>
      <c r="R259">
        <v>171.2</v>
      </c>
      <c r="S259">
        <v>151.19999999999999</v>
      </c>
      <c r="T259">
        <v>141.9</v>
      </c>
      <c r="U259">
        <v>149.80000000000001</v>
      </c>
      <c r="V259" s="1">
        <f>AVERAGE(Table1[[#This Row],[Clothing]:[Clothing and footwear]])</f>
        <v>147.63333333333335</v>
      </c>
      <c r="W259">
        <v>154.5</v>
      </c>
      <c r="X259">
        <v>148.9</v>
      </c>
      <c r="Y259">
        <v>146.4</v>
      </c>
      <c r="Z259">
        <v>152.30000000000001</v>
      </c>
      <c r="AA259">
        <v>129.9</v>
      </c>
      <c r="AB259" s="1">
        <f t="shared" si="13"/>
        <v>144.92499999999998</v>
      </c>
      <c r="AC259">
        <v>143.69999999999999</v>
      </c>
      <c r="AD259">
        <v>156.1</v>
      </c>
      <c r="AE259">
        <v>145.19999999999999</v>
      </c>
      <c r="AF259">
        <f t="shared" si="14"/>
        <v>148.75</v>
      </c>
      <c r="AG259">
        <v>143.80000000000001</v>
      </c>
      <c r="AH259">
        <v>148.6</v>
      </c>
      <c r="AI259">
        <f t="shared" si="15"/>
        <v>146.19999999999999</v>
      </c>
    </row>
    <row r="260" spans="1:35" x14ac:dyDescent="0.25">
      <c r="A260" t="s">
        <v>28</v>
      </c>
      <c r="B260">
        <v>2020</v>
      </c>
      <c r="C260" t="s">
        <v>34</v>
      </c>
      <c r="D260">
        <v>147.19999999999999</v>
      </c>
      <c r="E260">
        <v>167.3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158.9</v>
      </c>
      <c r="P260">
        <v>150.1</v>
      </c>
      <c r="Q260" s="1">
        <f>AVERAGE(Table1[[#This Row],[Cereals and products]:[Food and beverages]])</f>
        <v>149.30769230769232</v>
      </c>
      <c r="R260">
        <v>170.5</v>
      </c>
      <c r="S260">
        <v>150.4</v>
      </c>
      <c r="T260">
        <v>140.9</v>
      </c>
      <c r="U260">
        <v>149</v>
      </c>
      <c r="V260" s="1">
        <f>AVERAGE(Table1[[#This Row],[Clothing]:[Clothing and footwear]])</f>
        <v>146.76666666666668</v>
      </c>
      <c r="X260">
        <v>148.4</v>
      </c>
      <c r="Y260">
        <v>146.1</v>
      </c>
      <c r="Z260">
        <v>154.30000000000001</v>
      </c>
      <c r="AA260">
        <v>130.5</v>
      </c>
      <c r="AB260" s="1">
        <f t="shared" si="13"/>
        <v>141.66666666666666</v>
      </c>
      <c r="AC260">
        <v>143.80000000000001</v>
      </c>
      <c r="AD260">
        <v>156.6</v>
      </c>
      <c r="AE260">
        <v>143.6</v>
      </c>
      <c r="AF260">
        <f t="shared" si="14"/>
        <v>148.94999999999999</v>
      </c>
      <c r="AG260">
        <v>143.4</v>
      </c>
      <c r="AH260">
        <v>149.19999999999999</v>
      </c>
      <c r="AI260">
        <f t="shared" si="15"/>
        <v>146.30000000000001</v>
      </c>
    </row>
    <row r="261" spans="1:35" x14ac:dyDescent="0.25">
      <c r="A261" t="s">
        <v>30</v>
      </c>
      <c r="B261">
        <v>2020</v>
      </c>
      <c r="C261" t="s">
        <v>34</v>
      </c>
      <c r="D261">
        <v>151.80000000000001</v>
      </c>
      <c r="E261">
        <v>167.3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158.9</v>
      </c>
      <c r="P261">
        <v>153.5</v>
      </c>
      <c r="Q261" s="1">
        <f>AVERAGE(Table1[[#This Row],[Cereals and products]:[Food and beverages]])</f>
        <v>150.99230769230769</v>
      </c>
      <c r="R261">
        <v>170.5</v>
      </c>
      <c r="S261">
        <v>150.4</v>
      </c>
      <c r="T261">
        <v>140.9</v>
      </c>
      <c r="U261">
        <v>149</v>
      </c>
      <c r="V261" s="1">
        <f>AVERAGE(Table1[[#This Row],[Clothing]:[Clothing and footwear]])</f>
        <v>146.76666666666668</v>
      </c>
      <c r="W261">
        <v>155.6</v>
      </c>
      <c r="X261">
        <v>137.1</v>
      </c>
      <c r="Y261">
        <v>146.1</v>
      </c>
      <c r="Z261">
        <v>144.80000000000001</v>
      </c>
      <c r="AA261">
        <v>130.5</v>
      </c>
      <c r="AB261" s="1">
        <f t="shared" si="13"/>
        <v>142.32499999999999</v>
      </c>
      <c r="AC261">
        <v>143.80000000000001</v>
      </c>
      <c r="AD261">
        <v>156.6</v>
      </c>
      <c r="AE261">
        <v>143.6</v>
      </c>
      <c r="AF261">
        <f t="shared" si="14"/>
        <v>144.19999999999999</v>
      </c>
      <c r="AG261">
        <v>143.4</v>
      </c>
      <c r="AH261">
        <v>149.19999999999999</v>
      </c>
      <c r="AI261">
        <f t="shared" si="15"/>
        <v>146.30000000000001</v>
      </c>
    </row>
    <row r="262" spans="1:35" x14ac:dyDescent="0.25">
      <c r="A262" t="s">
        <v>31</v>
      </c>
      <c r="B262">
        <v>2020</v>
      </c>
      <c r="C262" t="s">
        <v>34</v>
      </c>
      <c r="D262">
        <v>148.69999999999999</v>
      </c>
      <c r="E262">
        <v>167.3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158.9</v>
      </c>
      <c r="P262">
        <v>151.4</v>
      </c>
      <c r="Q262" s="1">
        <f>AVERAGE(Table1[[#This Row],[Cereals and products]:[Food and beverages]])</f>
        <v>149.91538461538462</v>
      </c>
      <c r="R262">
        <v>170.5</v>
      </c>
      <c r="S262">
        <v>150.4</v>
      </c>
      <c r="T262">
        <v>140.9</v>
      </c>
      <c r="U262">
        <v>149</v>
      </c>
      <c r="V262" s="1">
        <f>AVERAGE(Table1[[#This Row],[Clothing]:[Clothing and footwear]])</f>
        <v>146.76666666666668</v>
      </c>
      <c r="W262">
        <v>155.6</v>
      </c>
      <c r="X262">
        <v>144.1</v>
      </c>
      <c r="Y262">
        <v>146.1</v>
      </c>
      <c r="Z262">
        <v>150.69999999999999</v>
      </c>
      <c r="AA262">
        <v>130.5</v>
      </c>
      <c r="AB262" s="1">
        <f t="shared" si="13"/>
        <v>144.07499999999999</v>
      </c>
      <c r="AC262">
        <v>143.80000000000001</v>
      </c>
      <c r="AD262">
        <v>156.6</v>
      </c>
      <c r="AE262">
        <v>143.6</v>
      </c>
      <c r="AF262">
        <f t="shared" si="14"/>
        <v>147.14999999999998</v>
      </c>
      <c r="AG262">
        <v>143.4</v>
      </c>
      <c r="AH262">
        <v>149.19999999999999</v>
      </c>
      <c r="AI262">
        <f t="shared" si="15"/>
        <v>146.30000000000001</v>
      </c>
    </row>
    <row r="263" spans="1:35" x14ac:dyDescent="0.25">
      <c r="A263" t="s">
        <v>28</v>
      </c>
      <c r="B263">
        <v>2020</v>
      </c>
      <c r="C263" t="s">
        <v>36</v>
      </c>
      <c r="D263">
        <v>148.19999999999999</v>
      </c>
      <c r="E263">
        <v>190.3</v>
      </c>
      <c r="F263">
        <v>149.4</v>
      </c>
      <c r="G263">
        <v>153.30000000000001</v>
      </c>
      <c r="H263">
        <v>138.19999999999999</v>
      </c>
      <c r="I263">
        <v>143.19999999999999</v>
      </c>
      <c r="J263">
        <v>148.9</v>
      </c>
      <c r="K263">
        <v>150.30000000000001</v>
      </c>
      <c r="L263">
        <v>113.2</v>
      </c>
      <c r="M263">
        <v>159.80000000000001</v>
      </c>
      <c r="N263">
        <v>142.1</v>
      </c>
      <c r="O263">
        <v>161.80000000000001</v>
      </c>
      <c r="P263">
        <v>152.30000000000001</v>
      </c>
      <c r="Q263" s="1">
        <f>AVERAGE(Table1[[#This Row],[Cereals and products]:[Food and beverages]])</f>
        <v>150.07692307692307</v>
      </c>
      <c r="R263">
        <v>182.4</v>
      </c>
      <c r="S263">
        <v>154.69999999999999</v>
      </c>
      <c r="T263">
        <v>150</v>
      </c>
      <c r="U263">
        <v>154.1</v>
      </c>
      <c r="V263" s="1">
        <f>AVERAGE(Table1[[#This Row],[Clothing]:[Clothing and footwear]])</f>
        <v>152.93333333333331</v>
      </c>
      <c r="X263">
        <v>144.9</v>
      </c>
      <c r="Y263">
        <v>151.69999999999999</v>
      </c>
      <c r="Z263">
        <v>158.19999999999999</v>
      </c>
      <c r="AA263">
        <v>141.4</v>
      </c>
      <c r="AB263" s="1">
        <f t="shared" si="13"/>
        <v>146</v>
      </c>
      <c r="AC263">
        <v>153.19999999999999</v>
      </c>
      <c r="AD263">
        <v>161.80000000000001</v>
      </c>
      <c r="AE263">
        <v>151.19999999999999</v>
      </c>
      <c r="AF263">
        <f t="shared" si="14"/>
        <v>154.69999999999999</v>
      </c>
      <c r="AG263">
        <v>151.69999999999999</v>
      </c>
      <c r="AH263">
        <v>152.69999999999999</v>
      </c>
      <c r="AI263">
        <f t="shared" si="15"/>
        <v>152.19999999999999</v>
      </c>
    </row>
    <row r="264" spans="1:35" x14ac:dyDescent="0.25">
      <c r="A264" t="s">
        <v>30</v>
      </c>
      <c r="B264">
        <v>2020</v>
      </c>
      <c r="C264" t="s">
        <v>36</v>
      </c>
      <c r="D264">
        <v>152.69999999999999</v>
      </c>
      <c r="E264">
        <v>197</v>
      </c>
      <c r="F264">
        <v>154.6</v>
      </c>
      <c r="G264">
        <v>153.4</v>
      </c>
      <c r="H264">
        <v>132.9</v>
      </c>
      <c r="I264">
        <v>151.80000000000001</v>
      </c>
      <c r="J264">
        <v>171.2</v>
      </c>
      <c r="K264">
        <v>152</v>
      </c>
      <c r="L264">
        <v>116.3</v>
      </c>
      <c r="M264">
        <v>158.80000000000001</v>
      </c>
      <c r="N264">
        <v>135.6</v>
      </c>
      <c r="O264">
        <v>161.69999999999999</v>
      </c>
      <c r="P264">
        <v>157</v>
      </c>
      <c r="Q264" s="1">
        <f>AVERAGE(Table1[[#This Row],[Cereals and products]:[Food and beverages]])</f>
        <v>153.46153846153845</v>
      </c>
      <c r="R264">
        <v>186.7</v>
      </c>
      <c r="S264">
        <v>149.1</v>
      </c>
      <c r="T264">
        <v>136.6</v>
      </c>
      <c r="U264">
        <v>147.19999999999999</v>
      </c>
      <c r="V264" s="1">
        <f>AVERAGE(Table1[[#This Row],[Clothing]:[Clothing and footwear]])</f>
        <v>144.29999999999998</v>
      </c>
      <c r="W264">
        <v>154.69999999999999</v>
      </c>
      <c r="X264">
        <v>137.1</v>
      </c>
      <c r="Y264">
        <v>140.4</v>
      </c>
      <c r="Z264">
        <v>148.1</v>
      </c>
      <c r="AA264">
        <v>129.30000000000001</v>
      </c>
      <c r="AB264" s="1">
        <f t="shared" si="13"/>
        <v>140.375</v>
      </c>
      <c r="AC264">
        <v>144.5</v>
      </c>
      <c r="AD264">
        <v>152.5</v>
      </c>
      <c r="AE264">
        <v>152.19999999999999</v>
      </c>
      <c r="AF264">
        <f t="shared" si="14"/>
        <v>150.14999999999998</v>
      </c>
      <c r="AG264">
        <v>142</v>
      </c>
      <c r="AH264">
        <v>150.80000000000001</v>
      </c>
      <c r="AI264">
        <f t="shared" si="15"/>
        <v>146.4</v>
      </c>
    </row>
    <row r="265" spans="1:35" x14ac:dyDescent="0.25">
      <c r="A265" t="s">
        <v>31</v>
      </c>
      <c r="B265">
        <v>2020</v>
      </c>
      <c r="C265" t="s">
        <v>36</v>
      </c>
      <c r="D265">
        <v>149.6</v>
      </c>
      <c r="E265">
        <v>192.7</v>
      </c>
      <c r="F265">
        <v>151.4</v>
      </c>
      <c r="G265">
        <v>153.30000000000001</v>
      </c>
      <c r="H265">
        <v>136.30000000000001</v>
      </c>
      <c r="I265">
        <v>147.19999999999999</v>
      </c>
      <c r="J265">
        <v>156.5</v>
      </c>
      <c r="K265">
        <v>150.9</v>
      </c>
      <c r="L265">
        <v>114.2</v>
      </c>
      <c r="M265">
        <v>159.5</v>
      </c>
      <c r="N265">
        <v>139.4</v>
      </c>
      <c r="O265">
        <v>161.80000000000001</v>
      </c>
      <c r="P265">
        <v>154</v>
      </c>
      <c r="Q265" s="1">
        <f>AVERAGE(Table1[[#This Row],[Cereals and products]:[Food and beverages]])</f>
        <v>151.2923076923077</v>
      </c>
      <c r="R265">
        <v>183.5</v>
      </c>
      <c r="S265">
        <v>152.5</v>
      </c>
      <c r="T265">
        <v>144.4</v>
      </c>
      <c r="U265">
        <v>151.4</v>
      </c>
      <c r="V265" s="1">
        <f>AVERAGE(Table1[[#This Row],[Clothing]:[Clothing and footwear]])</f>
        <v>149.43333333333331</v>
      </c>
      <c r="W265">
        <v>154.69999999999999</v>
      </c>
      <c r="X265">
        <v>141.9</v>
      </c>
      <c r="Y265">
        <v>146.4</v>
      </c>
      <c r="Z265">
        <v>154.4</v>
      </c>
      <c r="AA265">
        <v>135</v>
      </c>
      <c r="AB265" s="1">
        <f t="shared" si="13"/>
        <v>144.5</v>
      </c>
      <c r="AC265">
        <v>148.30000000000001</v>
      </c>
      <c r="AD265">
        <v>156.4</v>
      </c>
      <c r="AE265">
        <v>151.6</v>
      </c>
      <c r="AF265">
        <f t="shared" si="14"/>
        <v>153</v>
      </c>
      <c r="AG265">
        <v>147</v>
      </c>
      <c r="AH265">
        <v>151.80000000000001</v>
      </c>
      <c r="AI265">
        <f t="shared" si="15"/>
        <v>149.4</v>
      </c>
    </row>
    <row r="266" spans="1:35" x14ac:dyDescent="0.25">
      <c r="A266" t="s">
        <v>28</v>
      </c>
      <c r="B266">
        <v>2020</v>
      </c>
      <c r="C266" t="s">
        <v>37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 s="1">
        <f>AVERAGE(Table1[[#This Row],[Cereals and products]:[Food and beverages]])</f>
        <v>150.07692307692307</v>
      </c>
      <c r="R266">
        <v>182.4</v>
      </c>
      <c r="S266">
        <v>154.69999999999999</v>
      </c>
      <c r="T266">
        <v>150</v>
      </c>
      <c r="U266">
        <v>154.1</v>
      </c>
      <c r="V266" s="1">
        <f>AVERAGE(Table1[[#This Row],[Clothing]:[Clothing and footwear]])</f>
        <v>152.93333333333331</v>
      </c>
      <c r="X266">
        <v>144.9</v>
      </c>
      <c r="Y266">
        <v>151.69999999999999</v>
      </c>
      <c r="Z266">
        <v>158.19999999999999</v>
      </c>
      <c r="AA266">
        <v>141.4</v>
      </c>
      <c r="AB266" s="1">
        <f t="shared" si="13"/>
        <v>146</v>
      </c>
      <c r="AC266">
        <v>153.19999999999999</v>
      </c>
      <c r="AD266">
        <v>161.80000000000001</v>
      </c>
      <c r="AE266">
        <v>151.19999999999999</v>
      </c>
      <c r="AF266">
        <f t="shared" si="14"/>
        <v>154.69999999999999</v>
      </c>
      <c r="AG266">
        <v>151.69999999999999</v>
      </c>
      <c r="AH266">
        <v>152.69999999999999</v>
      </c>
      <c r="AI266">
        <f t="shared" si="15"/>
        <v>152.19999999999999</v>
      </c>
    </row>
    <row r="267" spans="1:35" x14ac:dyDescent="0.25">
      <c r="A267" t="s">
        <v>30</v>
      </c>
      <c r="B267">
        <v>2020</v>
      </c>
      <c r="C267" t="s">
        <v>37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 s="1">
        <f>AVERAGE(Table1[[#This Row],[Cereals and products]:[Food and beverages]])</f>
        <v>153.46153846153845</v>
      </c>
      <c r="R267">
        <v>186.7</v>
      </c>
      <c r="S267">
        <v>149.1</v>
      </c>
      <c r="T267">
        <v>136.6</v>
      </c>
      <c r="U267">
        <v>147.19999999999999</v>
      </c>
      <c r="V267" s="1">
        <f>AVERAGE(Table1[[#This Row],[Clothing]:[Clothing and footwear]])</f>
        <v>144.29999999999998</v>
      </c>
      <c r="W267">
        <v>154.69999999999999</v>
      </c>
      <c r="X267">
        <v>137.1</v>
      </c>
      <c r="Y267">
        <v>140.4</v>
      </c>
      <c r="Z267">
        <v>148.1</v>
      </c>
      <c r="AA267">
        <v>129.30000000000001</v>
      </c>
      <c r="AB267" s="1">
        <f t="shared" si="13"/>
        <v>140.375</v>
      </c>
      <c r="AC267">
        <v>144.5</v>
      </c>
      <c r="AD267">
        <v>152.5</v>
      </c>
      <c r="AE267">
        <v>152.19999999999999</v>
      </c>
      <c r="AF267">
        <f t="shared" si="14"/>
        <v>150.14999999999998</v>
      </c>
      <c r="AG267">
        <v>142</v>
      </c>
      <c r="AH267">
        <v>150.80000000000001</v>
      </c>
      <c r="AI267">
        <f t="shared" si="15"/>
        <v>146.4</v>
      </c>
    </row>
    <row r="268" spans="1:35" x14ac:dyDescent="0.25">
      <c r="A268" t="s">
        <v>31</v>
      </c>
      <c r="B268">
        <v>2020</v>
      </c>
      <c r="C268" t="s">
        <v>37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 s="1">
        <f>AVERAGE(Table1[[#This Row],[Cereals and products]:[Food and beverages]])</f>
        <v>151.2923076923077</v>
      </c>
      <c r="R268">
        <v>183.5</v>
      </c>
      <c r="S268">
        <v>152.5</v>
      </c>
      <c r="T268">
        <v>144.4</v>
      </c>
      <c r="U268">
        <v>151.4</v>
      </c>
      <c r="V268" s="1">
        <f>AVERAGE(Table1[[#This Row],[Clothing]:[Clothing and footwear]])</f>
        <v>149.43333333333331</v>
      </c>
      <c r="W268">
        <v>154.69999999999999</v>
      </c>
      <c r="X268">
        <v>141.9</v>
      </c>
      <c r="Y268">
        <v>146.4</v>
      </c>
      <c r="Z268">
        <v>154.4</v>
      </c>
      <c r="AA268">
        <v>135</v>
      </c>
      <c r="AB268" s="1">
        <f t="shared" si="13"/>
        <v>144.5</v>
      </c>
      <c r="AC268">
        <v>148.30000000000001</v>
      </c>
      <c r="AD268">
        <v>156.4</v>
      </c>
      <c r="AE268">
        <v>151.6</v>
      </c>
      <c r="AF268">
        <f t="shared" si="14"/>
        <v>153</v>
      </c>
      <c r="AG268">
        <v>147</v>
      </c>
      <c r="AH268">
        <v>151.80000000000001</v>
      </c>
      <c r="AI268">
        <f t="shared" si="15"/>
        <v>149.4</v>
      </c>
    </row>
    <row r="269" spans="1:35" x14ac:dyDescent="0.25">
      <c r="A269" t="s">
        <v>28</v>
      </c>
      <c r="B269">
        <v>2020</v>
      </c>
      <c r="C269" t="s">
        <v>38</v>
      </c>
      <c r="D269">
        <v>147.6</v>
      </c>
      <c r="E269">
        <v>187.2</v>
      </c>
      <c r="F269">
        <v>148.4</v>
      </c>
      <c r="G269">
        <v>153.30000000000001</v>
      </c>
      <c r="H269">
        <v>139.80000000000001</v>
      </c>
      <c r="I269">
        <v>146.9</v>
      </c>
      <c r="J269">
        <v>171</v>
      </c>
      <c r="K269">
        <v>149.9</v>
      </c>
      <c r="L269">
        <v>114.2</v>
      </c>
      <c r="M269">
        <v>160</v>
      </c>
      <c r="N269">
        <v>143.5</v>
      </c>
      <c r="O269">
        <v>161.5</v>
      </c>
      <c r="P269">
        <v>155.30000000000001</v>
      </c>
      <c r="Q269" s="1">
        <f>AVERAGE(Table1[[#This Row],[Cereals and products]:[Food and beverages]])</f>
        <v>152.19999999999999</v>
      </c>
      <c r="R269">
        <v>180.9</v>
      </c>
      <c r="S269">
        <v>155.1</v>
      </c>
      <c r="T269">
        <v>149.30000000000001</v>
      </c>
      <c r="U269">
        <v>154.30000000000001</v>
      </c>
      <c r="V269" s="1">
        <f>AVERAGE(Table1[[#This Row],[Clothing]:[Clothing and footwear]])</f>
        <v>152.9</v>
      </c>
      <c r="X269">
        <v>145.80000000000001</v>
      </c>
      <c r="Y269">
        <v>151.9</v>
      </c>
      <c r="Z269">
        <v>158.80000000000001</v>
      </c>
      <c r="AA269">
        <v>143.6</v>
      </c>
      <c r="AB269" s="1">
        <f t="shared" si="13"/>
        <v>147.10000000000002</v>
      </c>
      <c r="AC269">
        <v>152.19999999999999</v>
      </c>
      <c r="AD269">
        <v>162.69999999999999</v>
      </c>
      <c r="AE269">
        <v>153.6</v>
      </c>
      <c r="AF269">
        <f t="shared" si="14"/>
        <v>156.19999999999999</v>
      </c>
      <c r="AG269">
        <v>153</v>
      </c>
      <c r="AH269">
        <v>154.69999999999999</v>
      </c>
      <c r="AI269">
        <f t="shared" si="15"/>
        <v>153.85</v>
      </c>
    </row>
    <row r="270" spans="1:35" x14ac:dyDescent="0.25">
      <c r="A270" t="s">
        <v>30</v>
      </c>
      <c r="B270">
        <v>2020</v>
      </c>
      <c r="C270" t="s">
        <v>38</v>
      </c>
      <c r="D270">
        <v>151.6</v>
      </c>
      <c r="E270">
        <v>197.8</v>
      </c>
      <c r="F270">
        <v>154.5</v>
      </c>
      <c r="G270">
        <v>153.4</v>
      </c>
      <c r="H270">
        <v>133.4</v>
      </c>
      <c r="I270">
        <v>154.5</v>
      </c>
      <c r="J270">
        <v>191.9</v>
      </c>
      <c r="K270">
        <v>151.30000000000001</v>
      </c>
      <c r="L270">
        <v>116.8</v>
      </c>
      <c r="M270">
        <v>160</v>
      </c>
      <c r="N270">
        <v>136.5</v>
      </c>
      <c r="O270">
        <v>163.30000000000001</v>
      </c>
      <c r="P270">
        <v>159.9</v>
      </c>
      <c r="Q270" s="1">
        <f>AVERAGE(Table1[[#This Row],[Cereals and products]:[Food and beverages]])</f>
        <v>155.76153846153846</v>
      </c>
      <c r="R270">
        <v>187.2</v>
      </c>
      <c r="S270">
        <v>150</v>
      </c>
      <c r="T270">
        <v>135.19999999999999</v>
      </c>
      <c r="U270">
        <v>147.80000000000001</v>
      </c>
      <c r="V270" s="1">
        <f>AVERAGE(Table1[[#This Row],[Clothing]:[Clothing and footwear]])</f>
        <v>144.33333333333334</v>
      </c>
      <c r="W270">
        <v>155.5</v>
      </c>
      <c r="X270">
        <v>138.30000000000001</v>
      </c>
      <c r="Y270">
        <v>144.5</v>
      </c>
      <c r="Z270">
        <v>148.69999999999999</v>
      </c>
      <c r="AA270">
        <v>133.9</v>
      </c>
      <c r="AB270" s="1">
        <f t="shared" si="13"/>
        <v>143.05000000000001</v>
      </c>
      <c r="AC270">
        <v>141.19999999999999</v>
      </c>
      <c r="AD270">
        <v>155.5</v>
      </c>
      <c r="AE270">
        <v>155.19999999999999</v>
      </c>
      <c r="AF270">
        <f t="shared" si="14"/>
        <v>151.94999999999999</v>
      </c>
      <c r="AG270">
        <v>144.80000000000001</v>
      </c>
      <c r="AH270">
        <v>152.9</v>
      </c>
      <c r="AI270">
        <f t="shared" si="15"/>
        <v>148.85000000000002</v>
      </c>
    </row>
    <row r="271" spans="1:35" x14ac:dyDescent="0.25">
      <c r="A271" t="s">
        <v>31</v>
      </c>
      <c r="B271">
        <v>2020</v>
      </c>
      <c r="C271" t="s">
        <v>38</v>
      </c>
      <c r="D271">
        <v>148.9</v>
      </c>
      <c r="E271">
        <v>190.9</v>
      </c>
      <c r="F271">
        <v>150.80000000000001</v>
      </c>
      <c r="G271">
        <v>153.30000000000001</v>
      </c>
      <c r="H271">
        <v>137.4</v>
      </c>
      <c r="I271">
        <v>150.4</v>
      </c>
      <c r="J271">
        <v>178.1</v>
      </c>
      <c r="K271">
        <v>150.4</v>
      </c>
      <c r="L271">
        <v>115.1</v>
      </c>
      <c r="M271">
        <v>160</v>
      </c>
      <c r="N271">
        <v>140.6</v>
      </c>
      <c r="O271">
        <v>162.30000000000001</v>
      </c>
      <c r="P271">
        <v>157</v>
      </c>
      <c r="Q271" s="1">
        <f>AVERAGE(Table1[[#This Row],[Cereals and products]:[Food and beverages]])</f>
        <v>153.47692307692307</v>
      </c>
      <c r="R271">
        <v>182.6</v>
      </c>
      <c r="S271">
        <v>153.1</v>
      </c>
      <c r="T271">
        <v>143.4</v>
      </c>
      <c r="U271">
        <v>151.69999999999999</v>
      </c>
      <c r="V271" s="1">
        <f>AVERAGE(Table1[[#This Row],[Clothing]:[Clothing and footwear]])</f>
        <v>149.4</v>
      </c>
      <c r="W271">
        <v>155.5</v>
      </c>
      <c r="X271">
        <v>143</v>
      </c>
      <c r="Y271">
        <v>148.4</v>
      </c>
      <c r="Z271">
        <v>155</v>
      </c>
      <c r="AA271">
        <v>138.5</v>
      </c>
      <c r="AB271" s="1">
        <f t="shared" si="13"/>
        <v>146.35</v>
      </c>
      <c r="AC271">
        <v>146</v>
      </c>
      <c r="AD271">
        <v>158.5</v>
      </c>
      <c r="AE271">
        <v>154.30000000000001</v>
      </c>
      <c r="AF271">
        <f t="shared" si="14"/>
        <v>154.65</v>
      </c>
      <c r="AG271">
        <v>149</v>
      </c>
      <c r="AH271">
        <v>153.9</v>
      </c>
      <c r="AI271">
        <f t="shared" si="15"/>
        <v>151.44999999999999</v>
      </c>
    </row>
    <row r="272" spans="1:35" x14ac:dyDescent="0.25">
      <c r="A272" t="s">
        <v>28</v>
      </c>
      <c r="B272">
        <v>2020</v>
      </c>
      <c r="C272" t="s">
        <v>39</v>
      </c>
      <c r="D272">
        <v>146.9</v>
      </c>
      <c r="E272">
        <v>183.9</v>
      </c>
      <c r="F272">
        <v>149.5</v>
      </c>
      <c r="G272">
        <v>153.4</v>
      </c>
      <c r="H272">
        <v>140.4</v>
      </c>
      <c r="I272">
        <v>147</v>
      </c>
      <c r="J272">
        <v>178.8</v>
      </c>
      <c r="K272">
        <v>149.30000000000001</v>
      </c>
      <c r="L272">
        <v>115.1</v>
      </c>
      <c r="M272">
        <v>160</v>
      </c>
      <c r="N272">
        <v>145.4</v>
      </c>
      <c r="O272">
        <v>161.6</v>
      </c>
      <c r="P272">
        <v>156.1</v>
      </c>
      <c r="Q272" s="1">
        <f>AVERAGE(Table1[[#This Row],[Cereals and products]:[Food and beverages]])</f>
        <v>152.87692307692308</v>
      </c>
      <c r="R272">
        <v>182.9</v>
      </c>
      <c r="S272">
        <v>155.4</v>
      </c>
      <c r="T272">
        <v>149.9</v>
      </c>
      <c r="U272">
        <v>154.6</v>
      </c>
      <c r="V272" s="1">
        <f>AVERAGE(Table1[[#This Row],[Clothing]:[Clothing and footwear]])</f>
        <v>153.29999999999998</v>
      </c>
      <c r="X272">
        <v>146.4</v>
      </c>
      <c r="Y272">
        <v>151.6</v>
      </c>
      <c r="Z272">
        <v>159.1</v>
      </c>
      <c r="AA272">
        <v>144.6</v>
      </c>
      <c r="AB272" s="1">
        <f t="shared" si="13"/>
        <v>147.53333333333333</v>
      </c>
      <c r="AC272">
        <v>152.80000000000001</v>
      </c>
      <c r="AD272">
        <v>161.1</v>
      </c>
      <c r="AE272">
        <v>157.4</v>
      </c>
      <c r="AF272">
        <f t="shared" si="14"/>
        <v>158.25</v>
      </c>
      <c r="AG272">
        <v>153.69999999999999</v>
      </c>
      <c r="AH272">
        <v>155.4</v>
      </c>
      <c r="AI272">
        <f t="shared" si="15"/>
        <v>154.55000000000001</v>
      </c>
    </row>
    <row r="273" spans="1:35" x14ac:dyDescent="0.25">
      <c r="A273" t="s">
        <v>30</v>
      </c>
      <c r="B273">
        <v>2020</v>
      </c>
      <c r="C273" t="s">
        <v>39</v>
      </c>
      <c r="D273">
        <v>151.5</v>
      </c>
      <c r="E273">
        <v>193.1</v>
      </c>
      <c r="F273">
        <v>157.30000000000001</v>
      </c>
      <c r="G273">
        <v>153.9</v>
      </c>
      <c r="H273">
        <v>134.4</v>
      </c>
      <c r="I273">
        <v>155.4</v>
      </c>
      <c r="J273">
        <v>202</v>
      </c>
      <c r="K273">
        <v>150.80000000000001</v>
      </c>
      <c r="L273">
        <v>118.9</v>
      </c>
      <c r="M273">
        <v>160.9</v>
      </c>
      <c r="N273">
        <v>137.69999999999999</v>
      </c>
      <c r="O273">
        <v>164.4</v>
      </c>
      <c r="P273">
        <v>161.30000000000001</v>
      </c>
      <c r="Q273" s="1">
        <f>AVERAGE(Table1[[#This Row],[Cereals and products]:[Food and beverages]])</f>
        <v>157.04615384615386</v>
      </c>
      <c r="R273">
        <v>188.7</v>
      </c>
      <c r="S273">
        <v>150.19999999999999</v>
      </c>
      <c r="T273">
        <v>136.30000000000001</v>
      </c>
      <c r="U273">
        <v>148.1</v>
      </c>
      <c r="V273" s="1">
        <f>AVERAGE(Table1[[#This Row],[Clothing]:[Clothing and footwear]])</f>
        <v>144.86666666666667</v>
      </c>
      <c r="W273">
        <v>156.30000000000001</v>
      </c>
      <c r="X273">
        <v>137.19999999999999</v>
      </c>
      <c r="Y273">
        <v>145.4</v>
      </c>
      <c r="Z273">
        <v>150</v>
      </c>
      <c r="AA273">
        <v>135.1</v>
      </c>
      <c r="AB273" s="1">
        <f t="shared" si="13"/>
        <v>143.5</v>
      </c>
      <c r="AC273">
        <v>141.80000000000001</v>
      </c>
      <c r="AD273">
        <v>154.9</v>
      </c>
      <c r="AE273">
        <v>159.80000000000001</v>
      </c>
      <c r="AF273">
        <f t="shared" si="14"/>
        <v>154.9</v>
      </c>
      <c r="AG273">
        <v>146</v>
      </c>
      <c r="AH273">
        <v>154</v>
      </c>
      <c r="AI273">
        <f t="shared" si="15"/>
        <v>150</v>
      </c>
    </row>
    <row r="274" spans="1:35" x14ac:dyDescent="0.25">
      <c r="A274" t="s">
        <v>31</v>
      </c>
      <c r="B274">
        <v>2020</v>
      </c>
      <c r="C274" t="s">
        <v>39</v>
      </c>
      <c r="D274">
        <v>148.4</v>
      </c>
      <c r="E274">
        <v>187.1</v>
      </c>
      <c r="F274">
        <v>152.5</v>
      </c>
      <c r="G274">
        <v>153.6</v>
      </c>
      <c r="H274">
        <v>138.19999999999999</v>
      </c>
      <c r="I274">
        <v>150.9</v>
      </c>
      <c r="J274">
        <v>186.7</v>
      </c>
      <c r="K274">
        <v>149.80000000000001</v>
      </c>
      <c r="L274">
        <v>116.4</v>
      </c>
      <c r="M274">
        <v>160.30000000000001</v>
      </c>
      <c r="N274">
        <v>142.19999999999999</v>
      </c>
      <c r="O274">
        <v>162.9</v>
      </c>
      <c r="P274">
        <v>158</v>
      </c>
      <c r="Q274" s="1">
        <f>AVERAGE(Table1[[#This Row],[Cereals and products]:[Food and beverages]])</f>
        <v>154.38461538461539</v>
      </c>
      <c r="R274">
        <v>184.4</v>
      </c>
      <c r="S274">
        <v>153.4</v>
      </c>
      <c r="T274">
        <v>144.30000000000001</v>
      </c>
      <c r="U274">
        <v>152</v>
      </c>
      <c r="V274" s="1">
        <f>AVERAGE(Table1[[#This Row],[Clothing]:[Clothing and footwear]])</f>
        <v>149.9</v>
      </c>
      <c r="W274">
        <v>156.30000000000001</v>
      </c>
      <c r="X274">
        <v>142.9</v>
      </c>
      <c r="Y274">
        <v>148.69999999999999</v>
      </c>
      <c r="Z274">
        <v>155.6</v>
      </c>
      <c r="AA274">
        <v>139.6</v>
      </c>
      <c r="AB274" s="1">
        <f t="shared" si="13"/>
        <v>146.875</v>
      </c>
      <c r="AC274">
        <v>146.6</v>
      </c>
      <c r="AD274">
        <v>157.5</v>
      </c>
      <c r="AE274">
        <v>158.4</v>
      </c>
      <c r="AF274">
        <f t="shared" si="14"/>
        <v>157</v>
      </c>
      <c r="AG274">
        <v>150</v>
      </c>
      <c r="AH274">
        <v>154.69999999999999</v>
      </c>
      <c r="AI274">
        <f t="shared" si="15"/>
        <v>152.35</v>
      </c>
    </row>
    <row r="275" spans="1:35" x14ac:dyDescent="0.25">
      <c r="A275" t="s">
        <v>28</v>
      </c>
      <c r="B275">
        <v>2020</v>
      </c>
      <c r="C275" t="s">
        <v>40</v>
      </c>
      <c r="D275">
        <v>146</v>
      </c>
      <c r="E275">
        <v>186.3</v>
      </c>
      <c r="F275">
        <v>159.19999999999999</v>
      </c>
      <c r="G275">
        <v>153.6</v>
      </c>
      <c r="H275">
        <v>142.6</v>
      </c>
      <c r="I275">
        <v>147.19999999999999</v>
      </c>
      <c r="J275">
        <v>200.6</v>
      </c>
      <c r="K275">
        <v>150.30000000000001</v>
      </c>
      <c r="L275">
        <v>115.3</v>
      </c>
      <c r="M275">
        <v>160.9</v>
      </c>
      <c r="N275">
        <v>147.4</v>
      </c>
      <c r="O275">
        <v>161.9</v>
      </c>
      <c r="P275">
        <v>159.6</v>
      </c>
      <c r="Q275" s="1">
        <f>AVERAGE(Table1[[#This Row],[Cereals and products]:[Food and beverages]])</f>
        <v>156.22307692307692</v>
      </c>
      <c r="R275">
        <v>182.7</v>
      </c>
      <c r="S275">
        <v>155.69999999999999</v>
      </c>
      <c r="T275">
        <v>150.6</v>
      </c>
      <c r="U275">
        <v>155</v>
      </c>
      <c r="V275" s="1">
        <f>AVERAGE(Table1[[#This Row],[Clothing]:[Clothing and footwear]])</f>
        <v>153.76666666666665</v>
      </c>
      <c r="X275">
        <v>146.80000000000001</v>
      </c>
      <c r="Y275">
        <v>152</v>
      </c>
      <c r="Z275">
        <v>159.5</v>
      </c>
      <c r="AA275">
        <v>146.4</v>
      </c>
      <c r="AB275" s="1">
        <f t="shared" si="13"/>
        <v>148.4</v>
      </c>
      <c r="AC275">
        <v>152.4</v>
      </c>
      <c r="AD275">
        <v>162.5</v>
      </c>
      <c r="AE275">
        <v>156.19999999999999</v>
      </c>
      <c r="AF275">
        <f t="shared" si="14"/>
        <v>157.85</v>
      </c>
      <c r="AG275">
        <v>154.30000000000001</v>
      </c>
      <c r="AH275">
        <v>157.5</v>
      </c>
      <c r="AI275">
        <f t="shared" si="15"/>
        <v>155.9</v>
      </c>
    </row>
    <row r="276" spans="1:35" x14ac:dyDescent="0.25">
      <c r="A276" t="s">
        <v>30</v>
      </c>
      <c r="B276">
        <v>2020</v>
      </c>
      <c r="C276" t="s">
        <v>40</v>
      </c>
      <c r="D276">
        <v>150.6</v>
      </c>
      <c r="E276">
        <v>193.7</v>
      </c>
      <c r="F276">
        <v>164.8</v>
      </c>
      <c r="G276">
        <v>153.69999999999999</v>
      </c>
      <c r="H276">
        <v>135.69999999999999</v>
      </c>
      <c r="I276">
        <v>155.69999999999999</v>
      </c>
      <c r="J276">
        <v>226</v>
      </c>
      <c r="K276">
        <v>152.19999999999999</v>
      </c>
      <c r="L276">
        <v>118.1</v>
      </c>
      <c r="M276">
        <v>161.30000000000001</v>
      </c>
      <c r="N276">
        <v>139.19999999999999</v>
      </c>
      <c r="O276">
        <v>164.8</v>
      </c>
      <c r="P276">
        <v>164.4</v>
      </c>
      <c r="Q276" s="1">
        <f>AVERAGE(Table1[[#This Row],[Cereals and products]:[Food and beverages]])</f>
        <v>160.01538461538459</v>
      </c>
      <c r="R276">
        <v>188.7</v>
      </c>
      <c r="S276">
        <v>150.5</v>
      </c>
      <c r="T276">
        <v>136.1</v>
      </c>
      <c r="U276">
        <v>148.30000000000001</v>
      </c>
      <c r="V276" s="1">
        <f>AVERAGE(Table1[[#This Row],[Clothing]:[Clothing and footwear]])</f>
        <v>144.96666666666667</v>
      </c>
      <c r="W276">
        <v>156.5</v>
      </c>
      <c r="X276">
        <v>137.1</v>
      </c>
      <c r="Y276">
        <v>145.1</v>
      </c>
      <c r="Z276">
        <v>151</v>
      </c>
      <c r="AA276">
        <v>135.4</v>
      </c>
      <c r="AB276" s="1">
        <f t="shared" si="13"/>
        <v>143.52500000000001</v>
      </c>
      <c r="AC276">
        <v>142</v>
      </c>
      <c r="AD276">
        <v>155.69999999999999</v>
      </c>
      <c r="AE276">
        <v>158.1</v>
      </c>
      <c r="AF276">
        <f t="shared" si="14"/>
        <v>154.55000000000001</v>
      </c>
      <c r="AG276">
        <v>146.19999999999999</v>
      </c>
      <c r="AH276">
        <v>155.19999999999999</v>
      </c>
      <c r="AI276">
        <f t="shared" si="15"/>
        <v>150.69999999999999</v>
      </c>
    </row>
    <row r="277" spans="1:35" x14ac:dyDescent="0.25">
      <c r="A277" t="s">
        <v>31</v>
      </c>
      <c r="B277">
        <v>2020</v>
      </c>
      <c r="C277" t="s">
        <v>40</v>
      </c>
      <c r="D277">
        <v>147.5</v>
      </c>
      <c r="E277">
        <v>188.9</v>
      </c>
      <c r="F277">
        <v>161.4</v>
      </c>
      <c r="G277">
        <v>153.6</v>
      </c>
      <c r="H277">
        <v>140.1</v>
      </c>
      <c r="I277">
        <v>151.19999999999999</v>
      </c>
      <c r="J277">
        <v>209.2</v>
      </c>
      <c r="K277">
        <v>150.9</v>
      </c>
      <c r="L277">
        <v>116.2</v>
      </c>
      <c r="M277">
        <v>161</v>
      </c>
      <c r="N277">
        <v>144</v>
      </c>
      <c r="O277">
        <v>163.19999999999999</v>
      </c>
      <c r="P277">
        <v>161.4</v>
      </c>
      <c r="Q277" s="1">
        <f>AVERAGE(Table1[[#This Row],[Cereals and products]:[Food and beverages]])</f>
        <v>157.5846153846154</v>
      </c>
      <c r="R277">
        <v>184.3</v>
      </c>
      <c r="S277">
        <v>153.69999999999999</v>
      </c>
      <c r="T277">
        <v>144.6</v>
      </c>
      <c r="U277">
        <v>152.30000000000001</v>
      </c>
      <c r="V277" s="1">
        <f>AVERAGE(Table1[[#This Row],[Clothing]:[Clothing and footwear]])</f>
        <v>150.19999999999999</v>
      </c>
      <c r="W277">
        <v>156.5</v>
      </c>
      <c r="X277">
        <v>143.1</v>
      </c>
      <c r="Y277">
        <v>148.69999999999999</v>
      </c>
      <c r="Z277">
        <v>156.30000000000001</v>
      </c>
      <c r="AA277">
        <v>140.6</v>
      </c>
      <c r="AB277" s="1">
        <f t="shared" si="13"/>
        <v>147.22499999999999</v>
      </c>
      <c r="AC277">
        <v>146.5</v>
      </c>
      <c r="AD277">
        <v>158.5</v>
      </c>
      <c r="AE277">
        <v>157</v>
      </c>
      <c r="AF277">
        <f t="shared" si="14"/>
        <v>156.65</v>
      </c>
      <c r="AG277">
        <v>150.4</v>
      </c>
      <c r="AH277">
        <v>156.4</v>
      </c>
      <c r="AI277">
        <f t="shared" si="15"/>
        <v>153.4</v>
      </c>
    </row>
    <row r="278" spans="1:35" x14ac:dyDescent="0.25">
      <c r="A278" t="s">
        <v>28</v>
      </c>
      <c r="B278">
        <v>2020</v>
      </c>
      <c r="C278" t="s">
        <v>42</v>
      </c>
      <c r="D278">
        <v>145.4</v>
      </c>
      <c r="E278">
        <v>188.6</v>
      </c>
      <c r="F278">
        <v>171.6</v>
      </c>
      <c r="G278">
        <v>153.80000000000001</v>
      </c>
      <c r="H278">
        <v>145.4</v>
      </c>
      <c r="I278">
        <v>146.5</v>
      </c>
      <c r="J278">
        <v>222.2</v>
      </c>
      <c r="K278">
        <v>155.9</v>
      </c>
      <c r="L278">
        <v>114.9</v>
      </c>
      <c r="M278">
        <v>162</v>
      </c>
      <c r="N278">
        <v>150</v>
      </c>
      <c r="O278">
        <v>162.69999999999999</v>
      </c>
      <c r="P278">
        <v>163.4</v>
      </c>
      <c r="Q278" s="1">
        <f>AVERAGE(Table1[[#This Row],[Cereals and products]:[Food and beverages]])</f>
        <v>160.1846153846154</v>
      </c>
      <c r="R278">
        <v>183.4</v>
      </c>
      <c r="S278">
        <v>156.30000000000001</v>
      </c>
      <c r="T278">
        <v>151</v>
      </c>
      <c r="U278">
        <v>155.5</v>
      </c>
      <c r="V278" s="1">
        <f>AVERAGE(Table1[[#This Row],[Clothing]:[Clothing and footwear]])</f>
        <v>154.26666666666668</v>
      </c>
      <c r="X278">
        <v>147.5</v>
      </c>
      <c r="Y278">
        <v>152.80000000000001</v>
      </c>
      <c r="Z278">
        <v>160.4</v>
      </c>
      <c r="AA278">
        <v>146.1</v>
      </c>
      <c r="AB278" s="1">
        <f t="shared" si="13"/>
        <v>148.79999999999998</v>
      </c>
      <c r="AC278">
        <v>153.6</v>
      </c>
      <c r="AD278">
        <v>161.6</v>
      </c>
      <c r="AE278">
        <v>156.19999999999999</v>
      </c>
      <c r="AF278">
        <f t="shared" si="14"/>
        <v>158.30000000000001</v>
      </c>
      <c r="AG278">
        <v>154.5</v>
      </c>
      <c r="AH278">
        <v>159.80000000000001</v>
      </c>
      <c r="AI278">
        <f t="shared" si="15"/>
        <v>157.15</v>
      </c>
    </row>
    <row r="279" spans="1:35" x14ac:dyDescent="0.25">
      <c r="A279" t="s">
        <v>30</v>
      </c>
      <c r="B279">
        <v>2020</v>
      </c>
      <c r="C279" t="s">
        <v>42</v>
      </c>
      <c r="D279">
        <v>149.69999999999999</v>
      </c>
      <c r="E279">
        <v>195.5</v>
      </c>
      <c r="F279">
        <v>176.9</v>
      </c>
      <c r="G279">
        <v>153.9</v>
      </c>
      <c r="H279">
        <v>138</v>
      </c>
      <c r="I279">
        <v>150.5</v>
      </c>
      <c r="J279">
        <v>245.3</v>
      </c>
      <c r="K279">
        <v>158.69999999999999</v>
      </c>
      <c r="L279">
        <v>117.2</v>
      </c>
      <c r="M279">
        <v>161.4</v>
      </c>
      <c r="N279">
        <v>141.5</v>
      </c>
      <c r="O279">
        <v>165.1</v>
      </c>
      <c r="P279">
        <v>167</v>
      </c>
      <c r="Q279" s="1">
        <f>AVERAGE(Table1[[#This Row],[Cereals and products]:[Food and beverages]])</f>
        <v>163.1307692307692</v>
      </c>
      <c r="R279">
        <v>188.8</v>
      </c>
      <c r="S279">
        <v>151.1</v>
      </c>
      <c r="T279">
        <v>136.4</v>
      </c>
      <c r="U279">
        <v>148.80000000000001</v>
      </c>
      <c r="V279" s="1">
        <f>AVERAGE(Table1[[#This Row],[Clothing]:[Clothing and footwear]])</f>
        <v>145.43333333333334</v>
      </c>
      <c r="W279">
        <v>158</v>
      </c>
      <c r="X279">
        <v>137.30000000000001</v>
      </c>
      <c r="Y279">
        <v>145.1</v>
      </c>
      <c r="Z279">
        <v>152</v>
      </c>
      <c r="AA279">
        <v>135.19999999999999</v>
      </c>
      <c r="AB279" s="1">
        <f t="shared" si="13"/>
        <v>143.89999999999998</v>
      </c>
      <c r="AC279">
        <v>144.4</v>
      </c>
      <c r="AD279">
        <v>156.4</v>
      </c>
      <c r="AE279">
        <v>157.9</v>
      </c>
      <c r="AF279">
        <f t="shared" si="14"/>
        <v>154.94999999999999</v>
      </c>
      <c r="AG279">
        <v>146.6</v>
      </c>
      <c r="AH279">
        <v>156.69999999999999</v>
      </c>
      <c r="AI279">
        <f t="shared" si="15"/>
        <v>151.64999999999998</v>
      </c>
    </row>
    <row r="280" spans="1:35" x14ac:dyDescent="0.25">
      <c r="A280" t="s">
        <v>31</v>
      </c>
      <c r="B280">
        <v>2020</v>
      </c>
      <c r="C280" t="s">
        <v>42</v>
      </c>
      <c r="D280">
        <v>146.80000000000001</v>
      </c>
      <c r="E280">
        <v>191</v>
      </c>
      <c r="F280">
        <v>173.6</v>
      </c>
      <c r="G280">
        <v>153.80000000000001</v>
      </c>
      <c r="H280">
        <v>142.69999999999999</v>
      </c>
      <c r="I280">
        <v>148.4</v>
      </c>
      <c r="J280">
        <v>230</v>
      </c>
      <c r="K280">
        <v>156.80000000000001</v>
      </c>
      <c r="L280">
        <v>115.7</v>
      </c>
      <c r="M280">
        <v>161.80000000000001</v>
      </c>
      <c r="N280">
        <v>146.5</v>
      </c>
      <c r="O280">
        <v>163.80000000000001</v>
      </c>
      <c r="P280">
        <v>164.7</v>
      </c>
      <c r="Q280" s="1">
        <f>AVERAGE(Table1[[#This Row],[Cereals and products]:[Food and beverages]])</f>
        <v>161.19999999999999</v>
      </c>
      <c r="R280">
        <v>184.8</v>
      </c>
      <c r="S280">
        <v>154.30000000000001</v>
      </c>
      <c r="T280">
        <v>144.9</v>
      </c>
      <c r="U280">
        <v>152.80000000000001</v>
      </c>
      <c r="V280" s="1">
        <f>AVERAGE(Table1[[#This Row],[Clothing]:[Clothing and footwear]])</f>
        <v>150.66666666666669</v>
      </c>
      <c r="W280">
        <v>158</v>
      </c>
      <c r="X280">
        <v>143.6</v>
      </c>
      <c r="Y280">
        <v>149.19999999999999</v>
      </c>
      <c r="Z280">
        <v>157.19999999999999</v>
      </c>
      <c r="AA280">
        <v>140.4</v>
      </c>
      <c r="AB280" s="1">
        <f t="shared" si="13"/>
        <v>147.80000000000001</v>
      </c>
      <c r="AC280">
        <v>148.4</v>
      </c>
      <c r="AD280">
        <v>158.6</v>
      </c>
      <c r="AE280">
        <v>156.9</v>
      </c>
      <c r="AF280">
        <f t="shared" si="14"/>
        <v>157.05000000000001</v>
      </c>
      <c r="AG280">
        <v>150.69999999999999</v>
      </c>
      <c r="AH280">
        <v>158.4</v>
      </c>
      <c r="AI280">
        <f t="shared" si="15"/>
        <v>154.55000000000001</v>
      </c>
    </row>
    <row r="281" spans="1:35" x14ac:dyDescent="0.25">
      <c r="A281" t="s">
        <v>28</v>
      </c>
      <c r="B281">
        <v>2020</v>
      </c>
      <c r="C281" t="s">
        <v>43</v>
      </c>
      <c r="D281">
        <v>144.6</v>
      </c>
      <c r="E281">
        <v>188.5</v>
      </c>
      <c r="F281">
        <v>173.4</v>
      </c>
      <c r="G281">
        <v>154</v>
      </c>
      <c r="H281">
        <v>150</v>
      </c>
      <c r="I281">
        <v>145.9</v>
      </c>
      <c r="J281">
        <v>225.2</v>
      </c>
      <c r="K281">
        <v>159.5</v>
      </c>
      <c r="L281">
        <v>114.4</v>
      </c>
      <c r="M281">
        <v>163.5</v>
      </c>
      <c r="N281">
        <v>153.4</v>
      </c>
      <c r="O281">
        <v>163.6</v>
      </c>
      <c r="P281">
        <v>164.5</v>
      </c>
      <c r="Q281" s="1">
        <f>AVERAGE(Table1[[#This Row],[Cereals and products]:[Food and beverages]])</f>
        <v>161.57692307692307</v>
      </c>
      <c r="R281">
        <v>183.6</v>
      </c>
      <c r="S281">
        <v>157</v>
      </c>
      <c r="T281">
        <v>151.6</v>
      </c>
      <c r="U281">
        <v>156.30000000000001</v>
      </c>
      <c r="V281" s="1">
        <f>AVERAGE(Table1[[#This Row],[Clothing]:[Clothing and footwear]])</f>
        <v>154.96666666666667</v>
      </c>
      <c r="X281">
        <v>148.69999999999999</v>
      </c>
      <c r="Y281">
        <v>153.4</v>
      </c>
      <c r="Z281">
        <v>161.6</v>
      </c>
      <c r="AA281">
        <v>146.4</v>
      </c>
      <c r="AB281" s="1">
        <f t="shared" si="13"/>
        <v>149.5</v>
      </c>
      <c r="AC281">
        <v>153.9</v>
      </c>
      <c r="AD281">
        <v>162.9</v>
      </c>
      <c r="AE281">
        <v>156.6</v>
      </c>
      <c r="AF281">
        <f t="shared" si="14"/>
        <v>159.1</v>
      </c>
      <c r="AG281">
        <v>155.19999999999999</v>
      </c>
      <c r="AH281">
        <v>160.69999999999999</v>
      </c>
      <c r="AI281">
        <f t="shared" si="15"/>
        <v>157.94999999999999</v>
      </c>
    </row>
    <row r="282" spans="1:35" x14ac:dyDescent="0.25">
      <c r="A282" t="s">
        <v>30</v>
      </c>
      <c r="B282">
        <v>2020</v>
      </c>
      <c r="C282" t="s">
        <v>43</v>
      </c>
      <c r="D282">
        <v>149</v>
      </c>
      <c r="E282">
        <v>195.7</v>
      </c>
      <c r="F282">
        <v>178.3</v>
      </c>
      <c r="G282">
        <v>154.19999999999999</v>
      </c>
      <c r="H282">
        <v>140.69999999999999</v>
      </c>
      <c r="I282">
        <v>149.69999999999999</v>
      </c>
      <c r="J282">
        <v>240.9</v>
      </c>
      <c r="K282">
        <v>161.5</v>
      </c>
      <c r="L282">
        <v>117.1</v>
      </c>
      <c r="M282">
        <v>161.9</v>
      </c>
      <c r="N282">
        <v>143.30000000000001</v>
      </c>
      <c r="O282">
        <v>166.1</v>
      </c>
      <c r="P282">
        <v>167</v>
      </c>
      <c r="Q282" s="1">
        <f>AVERAGE(Table1[[#This Row],[Cereals and products]:[Food and beverages]])</f>
        <v>163.49230769230769</v>
      </c>
      <c r="R282">
        <v>190.2</v>
      </c>
      <c r="S282">
        <v>151.9</v>
      </c>
      <c r="T282">
        <v>136.69999999999999</v>
      </c>
      <c r="U282">
        <v>149.6</v>
      </c>
      <c r="V282" s="1">
        <f>AVERAGE(Table1[[#This Row],[Clothing]:[Clothing and footwear]])</f>
        <v>146.06666666666669</v>
      </c>
      <c r="W282">
        <v>158.4</v>
      </c>
      <c r="X282">
        <v>137.9</v>
      </c>
      <c r="Y282">
        <v>145.5</v>
      </c>
      <c r="Z282">
        <v>152.9</v>
      </c>
      <c r="AA282">
        <v>135.5</v>
      </c>
      <c r="AB282" s="1">
        <f t="shared" si="13"/>
        <v>144.32499999999999</v>
      </c>
      <c r="AC282">
        <v>144.30000000000001</v>
      </c>
      <c r="AD282">
        <v>156.9</v>
      </c>
      <c r="AE282">
        <v>157.9</v>
      </c>
      <c r="AF282">
        <f t="shared" si="14"/>
        <v>155.4</v>
      </c>
      <c r="AG282">
        <v>146.9</v>
      </c>
      <c r="AH282">
        <v>156.9</v>
      </c>
      <c r="AI282">
        <f t="shared" si="15"/>
        <v>151.9</v>
      </c>
    </row>
    <row r="283" spans="1:35" x14ac:dyDescent="0.25">
      <c r="A283" t="s">
        <v>31</v>
      </c>
      <c r="B283">
        <v>2020</v>
      </c>
      <c r="C283" t="s">
        <v>43</v>
      </c>
      <c r="D283">
        <v>146</v>
      </c>
      <c r="E283">
        <v>191</v>
      </c>
      <c r="F283">
        <v>175.3</v>
      </c>
      <c r="G283">
        <v>154.1</v>
      </c>
      <c r="H283">
        <v>146.6</v>
      </c>
      <c r="I283">
        <v>147.69999999999999</v>
      </c>
      <c r="J283">
        <v>230.5</v>
      </c>
      <c r="K283">
        <v>160.19999999999999</v>
      </c>
      <c r="L283">
        <v>115.3</v>
      </c>
      <c r="M283">
        <v>163</v>
      </c>
      <c r="N283">
        <v>149.19999999999999</v>
      </c>
      <c r="O283">
        <v>164.8</v>
      </c>
      <c r="P283">
        <v>165.4</v>
      </c>
      <c r="Q283" s="1">
        <f>AVERAGE(Table1[[#This Row],[Cereals and products]:[Food and beverages]])</f>
        <v>162.23846153846154</v>
      </c>
      <c r="R283">
        <v>185.4</v>
      </c>
      <c r="S283">
        <v>155</v>
      </c>
      <c r="T283">
        <v>145.4</v>
      </c>
      <c r="U283">
        <v>153.6</v>
      </c>
      <c r="V283" s="1">
        <f>AVERAGE(Table1[[#This Row],[Clothing]:[Clothing and footwear]])</f>
        <v>151.33333333333334</v>
      </c>
      <c r="W283">
        <v>158.4</v>
      </c>
      <c r="X283">
        <v>144.6</v>
      </c>
      <c r="Y283">
        <v>149.69999999999999</v>
      </c>
      <c r="Z283">
        <v>158.30000000000001</v>
      </c>
      <c r="AA283">
        <v>140.69999999999999</v>
      </c>
      <c r="AB283" s="1">
        <f t="shared" si="13"/>
        <v>148.35</v>
      </c>
      <c r="AC283">
        <v>148.5</v>
      </c>
      <c r="AD283">
        <v>159.4</v>
      </c>
      <c r="AE283">
        <v>157.1</v>
      </c>
      <c r="AF283">
        <f t="shared" si="14"/>
        <v>157.69999999999999</v>
      </c>
      <c r="AG283">
        <v>151.19999999999999</v>
      </c>
      <c r="AH283">
        <v>158.9</v>
      </c>
      <c r="AI283">
        <f t="shared" si="15"/>
        <v>155.05000000000001</v>
      </c>
    </row>
    <row r="284" spans="1:35" x14ac:dyDescent="0.25">
      <c r="A284" t="s">
        <v>28</v>
      </c>
      <c r="B284">
        <v>2021</v>
      </c>
      <c r="C284" t="s">
        <v>29</v>
      </c>
      <c r="D284">
        <v>143.4</v>
      </c>
      <c r="E284">
        <v>187.5</v>
      </c>
      <c r="F284">
        <v>173.4</v>
      </c>
      <c r="G284">
        <v>154</v>
      </c>
      <c r="H284">
        <v>154.80000000000001</v>
      </c>
      <c r="I284">
        <v>147</v>
      </c>
      <c r="J284">
        <v>187.8</v>
      </c>
      <c r="K284">
        <v>159.5</v>
      </c>
      <c r="L284">
        <v>113.8</v>
      </c>
      <c r="M284">
        <v>164.5</v>
      </c>
      <c r="N284">
        <v>156.1</v>
      </c>
      <c r="O284">
        <v>164.3</v>
      </c>
      <c r="P284">
        <v>159.6</v>
      </c>
      <c r="Q284" s="1">
        <f>AVERAGE(Table1[[#This Row],[Cereals and products]:[Food and beverages]])</f>
        <v>158.89999999999998</v>
      </c>
      <c r="R284">
        <v>184.6</v>
      </c>
      <c r="S284">
        <v>157.5</v>
      </c>
      <c r="T284">
        <v>152.4</v>
      </c>
      <c r="U284">
        <v>156.80000000000001</v>
      </c>
      <c r="V284" s="1">
        <f>AVERAGE(Table1[[#This Row],[Clothing]:[Clothing and footwear]])</f>
        <v>155.56666666666666</v>
      </c>
      <c r="X284">
        <v>150.9</v>
      </c>
      <c r="Y284">
        <v>153.9</v>
      </c>
      <c r="Z284">
        <v>162.5</v>
      </c>
      <c r="AA284">
        <v>147.5</v>
      </c>
      <c r="AB284" s="1">
        <f t="shared" si="13"/>
        <v>150.76666666666668</v>
      </c>
      <c r="AC284">
        <v>155.1</v>
      </c>
      <c r="AD284">
        <v>163.5</v>
      </c>
      <c r="AE284">
        <v>156.19999999999999</v>
      </c>
      <c r="AF284">
        <f t="shared" si="14"/>
        <v>159.35</v>
      </c>
      <c r="AG284">
        <v>155.9</v>
      </c>
      <c r="AH284">
        <v>158.5</v>
      </c>
      <c r="AI284">
        <f t="shared" si="15"/>
        <v>157.19999999999999</v>
      </c>
    </row>
    <row r="285" spans="1:35" x14ac:dyDescent="0.25">
      <c r="A285" t="s">
        <v>30</v>
      </c>
      <c r="B285">
        <v>2021</v>
      </c>
      <c r="C285" t="s">
        <v>29</v>
      </c>
      <c r="D285">
        <v>148</v>
      </c>
      <c r="E285">
        <v>194.8</v>
      </c>
      <c r="F285">
        <v>178.4</v>
      </c>
      <c r="G285">
        <v>154.4</v>
      </c>
      <c r="H285">
        <v>144.1</v>
      </c>
      <c r="I285">
        <v>152.6</v>
      </c>
      <c r="J285">
        <v>206.8</v>
      </c>
      <c r="K285">
        <v>162.1</v>
      </c>
      <c r="L285">
        <v>116.3</v>
      </c>
      <c r="M285">
        <v>163</v>
      </c>
      <c r="N285">
        <v>145.9</v>
      </c>
      <c r="O285">
        <v>167.2</v>
      </c>
      <c r="P285">
        <v>163.4</v>
      </c>
      <c r="Q285" s="1">
        <f>AVERAGE(Table1[[#This Row],[Cereals and products]:[Food and beverages]])</f>
        <v>161.30769230769232</v>
      </c>
      <c r="R285">
        <v>191.8</v>
      </c>
      <c r="S285">
        <v>152.5</v>
      </c>
      <c r="T285">
        <v>137.30000000000001</v>
      </c>
      <c r="U285">
        <v>150.19999999999999</v>
      </c>
      <c r="V285" s="1">
        <f>AVERAGE(Table1[[#This Row],[Clothing]:[Clothing and footwear]])</f>
        <v>146.66666666666666</v>
      </c>
      <c r="W285">
        <v>157.69999999999999</v>
      </c>
      <c r="X285">
        <v>142.9</v>
      </c>
      <c r="Y285">
        <v>145.69999999999999</v>
      </c>
      <c r="Z285">
        <v>154.1</v>
      </c>
      <c r="AA285">
        <v>136.9</v>
      </c>
      <c r="AB285" s="1">
        <f t="shared" si="13"/>
        <v>145.80000000000001</v>
      </c>
      <c r="AC285">
        <v>145.4</v>
      </c>
      <c r="AD285">
        <v>156.1</v>
      </c>
      <c r="AE285">
        <v>157.69999999999999</v>
      </c>
      <c r="AF285">
        <f t="shared" si="14"/>
        <v>155.89999999999998</v>
      </c>
      <c r="AG285">
        <v>147.6</v>
      </c>
      <c r="AH285">
        <v>156</v>
      </c>
      <c r="AI285">
        <f t="shared" si="15"/>
        <v>151.80000000000001</v>
      </c>
    </row>
    <row r="286" spans="1:35" x14ac:dyDescent="0.25">
      <c r="A286" t="s">
        <v>31</v>
      </c>
      <c r="B286">
        <v>2021</v>
      </c>
      <c r="C286" t="s">
        <v>29</v>
      </c>
      <c r="D286">
        <v>144.9</v>
      </c>
      <c r="E286">
        <v>190.1</v>
      </c>
      <c r="F286">
        <v>175.3</v>
      </c>
      <c r="G286">
        <v>154.1</v>
      </c>
      <c r="H286">
        <v>150.9</v>
      </c>
      <c r="I286">
        <v>149.6</v>
      </c>
      <c r="J286">
        <v>194.2</v>
      </c>
      <c r="K286">
        <v>160.4</v>
      </c>
      <c r="L286">
        <v>114.6</v>
      </c>
      <c r="M286">
        <v>164</v>
      </c>
      <c r="N286">
        <v>151.80000000000001</v>
      </c>
      <c r="O286">
        <v>165.6</v>
      </c>
      <c r="P286">
        <v>161</v>
      </c>
      <c r="Q286" s="1">
        <f>AVERAGE(Table1[[#This Row],[Cereals and products]:[Food and beverages]])</f>
        <v>159.73076923076923</v>
      </c>
      <c r="R286">
        <v>186.5</v>
      </c>
      <c r="S286">
        <v>155.5</v>
      </c>
      <c r="T286">
        <v>146.1</v>
      </c>
      <c r="U286">
        <v>154.19999999999999</v>
      </c>
      <c r="V286" s="1">
        <f>AVERAGE(Table1[[#This Row],[Clothing]:[Clothing and footwear]])</f>
        <v>151.93333333333334</v>
      </c>
      <c r="W286">
        <v>157.69999999999999</v>
      </c>
      <c r="X286">
        <v>147.9</v>
      </c>
      <c r="Y286">
        <v>150</v>
      </c>
      <c r="Z286">
        <v>159.30000000000001</v>
      </c>
      <c r="AA286">
        <v>141.9</v>
      </c>
      <c r="AB286" s="1">
        <f t="shared" si="13"/>
        <v>149.375</v>
      </c>
      <c r="AC286">
        <v>149.6</v>
      </c>
      <c r="AD286">
        <v>159.19999999999999</v>
      </c>
      <c r="AE286">
        <v>156.80000000000001</v>
      </c>
      <c r="AF286">
        <f t="shared" si="14"/>
        <v>158.05000000000001</v>
      </c>
      <c r="AG286">
        <v>151.9</v>
      </c>
      <c r="AH286">
        <v>157.30000000000001</v>
      </c>
      <c r="AI286">
        <f t="shared" si="15"/>
        <v>154.60000000000002</v>
      </c>
    </row>
    <row r="287" spans="1:35" x14ac:dyDescent="0.25">
      <c r="A287" t="s">
        <v>28</v>
      </c>
      <c r="B287">
        <v>2021</v>
      </c>
      <c r="C287" t="s">
        <v>32</v>
      </c>
      <c r="D287">
        <v>142.80000000000001</v>
      </c>
      <c r="E287">
        <v>184</v>
      </c>
      <c r="F287">
        <v>168</v>
      </c>
      <c r="G287">
        <v>154.4</v>
      </c>
      <c r="H287">
        <v>163</v>
      </c>
      <c r="I287">
        <v>147.80000000000001</v>
      </c>
      <c r="J287">
        <v>149.69999999999999</v>
      </c>
      <c r="K287">
        <v>158.30000000000001</v>
      </c>
      <c r="L287">
        <v>111.8</v>
      </c>
      <c r="M287">
        <v>165</v>
      </c>
      <c r="N287">
        <v>160</v>
      </c>
      <c r="O287">
        <v>165.8</v>
      </c>
      <c r="P287">
        <v>154.69999999999999</v>
      </c>
      <c r="Q287" s="1">
        <f>AVERAGE(Table1[[#This Row],[Cereals and products]:[Food and beverages]])</f>
        <v>155.7923076923077</v>
      </c>
      <c r="R287">
        <v>186.5</v>
      </c>
      <c r="S287">
        <v>159.1</v>
      </c>
      <c r="T287">
        <v>153.9</v>
      </c>
      <c r="U287">
        <v>158.4</v>
      </c>
      <c r="V287" s="1">
        <f>AVERAGE(Table1[[#This Row],[Clothing]:[Clothing and footwear]])</f>
        <v>157.13333333333333</v>
      </c>
      <c r="X287">
        <v>154.4</v>
      </c>
      <c r="Y287">
        <v>154.80000000000001</v>
      </c>
      <c r="Z287">
        <v>164.3</v>
      </c>
      <c r="AA287">
        <v>150.19999999999999</v>
      </c>
      <c r="AB287" s="1">
        <f t="shared" si="13"/>
        <v>153.13333333333335</v>
      </c>
      <c r="AC287">
        <v>157</v>
      </c>
      <c r="AD287">
        <v>163.6</v>
      </c>
      <c r="AE287">
        <v>155.19999999999999</v>
      </c>
      <c r="AF287">
        <f t="shared" si="14"/>
        <v>159.75</v>
      </c>
      <c r="AG287">
        <v>157.19999999999999</v>
      </c>
      <c r="AH287">
        <v>156.69999999999999</v>
      </c>
      <c r="AI287">
        <f t="shared" si="15"/>
        <v>156.94999999999999</v>
      </c>
    </row>
    <row r="288" spans="1:35" x14ac:dyDescent="0.25">
      <c r="A288" t="s">
        <v>30</v>
      </c>
      <c r="B288">
        <v>2021</v>
      </c>
      <c r="C288" t="s">
        <v>32</v>
      </c>
      <c r="D288">
        <v>147.6</v>
      </c>
      <c r="E288">
        <v>191.2</v>
      </c>
      <c r="F288">
        <v>169.9</v>
      </c>
      <c r="G288">
        <v>155.1</v>
      </c>
      <c r="H288">
        <v>151.4</v>
      </c>
      <c r="I288">
        <v>154</v>
      </c>
      <c r="J288">
        <v>180.2</v>
      </c>
      <c r="K288">
        <v>159.80000000000001</v>
      </c>
      <c r="L288">
        <v>114.9</v>
      </c>
      <c r="M288">
        <v>162.5</v>
      </c>
      <c r="N288">
        <v>149.19999999999999</v>
      </c>
      <c r="O288">
        <v>169.4</v>
      </c>
      <c r="P288">
        <v>160.80000000000001</v>
      </c>
      <c r="Q288" s="1">
        <f>AVERAGE(Table1[[#This Row],[Cereals and products]:[Food and beverages]])</f>
        <v>158.92307692307693</v>
      </c>
      <c r="R288">
        <v>193.3</v>
      </c>
      <c r="S288">
        <v>154.19999999999999</v>
      </c>
      <c r="T288">
        <v>138.19999999999999</v>
      </c>
      <c r="U288">
        <v>151.80000000000001</v>
      </c>
      <c r="V288" s="1">
        <f>AVERAGE(Table1[[#This Row],[Clothing]:[Clothing and footwear]])</f>
        <v>148.06666666666666</v>
      </c>
      <c r="W288">
        <v>159.80000000000001</v>
      </c>
      <c r="X288">
        <v>149.1</v>
      </c>
      <c r="Y288">
        <v>146.5</v>
      </c>
      <c r="Z288">
        <v>156.30000000000001</v>
      </c>
      <c r="AA288">
        <v>140.5</v>
      </c>
      <c r="AB288" s="1">
        <f t="shared" si="13"/>
        <v>148.97499999999999</v>
      </c>
      <c r="AC288">
        <v>147.30000000000001</v>
      </c>
      <c r="AD288">
        <v>156.6</v>
      </c>
      <c r="AE288">
        <v>156.69999999999999</v>
      </c>
      <c r="AF288">
        <f t="shared" si="14"/>
        <v>156.5</v>
      </c>
      <c r="AG288">
        <v>149.30000000000001</v>
      </c>
      <c r="AH288">
        <v>156.5</v>
      </c>
      <c r="AI288">
        <f t="shared" si="15"/>
        <v>152.9</v>
      </c>
    </row>
    <row r="289" spans="1:35" x14ac:dyDescent="0.25">
      <c r="A289" t="s">
        <v>31</v>
      </c>
      <c r="B289">
        <v>2021</v>
      </c>
      <c r="C289" t="s">
        <v>32</v>
      </c>
      <c r="D289">
        <v>144.30000000000001</v>
      </c>
      <c r="E289">
        <v>186.5</v>
      </c>
      <c r="F289">
        <v>168.7</v>
      </c>
      <c r="G289">
        <v>154.69999999999999</v>
      </c>
      <c r="H289">
        <v>158.69999999999999</v>
      </c>
      <c r="I289">
        <v>150.69999999999999</v>
      </c>
      <c r="J289">
        <v>160</v>
      </c>
      <c r="K289">
        <v>158.80000000000001</v>
      </c>
      <c r="L289">
        <v>112.8</v>
      </c>
      <c r="M289">
        <v>164.2</v>
      </c>
      <c r="N289">
        <v>155.5</v>
      </c>
      <c r="O289">
        <v>167.5</v>
      </c>
      <c r="P289">
        <v>156.9</v>
      </c>
      <c r="Q289" s="1">
        <f>AVERAGE(Table1[[#This Row],[Cereals and products]:[Food and beverages]])</f>
        <v>156.8692307692308</v>
      </c>
      <c r="R289">
        <v>188.3</v>
      </c>
      <c r="S289">
        <v>157.19999999999999</v>
      </c>
      <c r="T289">
        <v>147.4</v>
      </c>
      <c r="U289">
        <v>155.80000000000001</v>
      </c>
      <c r="V289" s="1">
        <f>AVERAGE(Table1[[#This Row],[Clothing]:[Clothing and footwear]])</f>
        <v>153.46666666666667</v>
      </c>
      <c r="W289">
        <v>159.80000000000001</v>
      </c>
      <c r="X289">
        <v>152.4</v>
      </c>
      <c r="Y289">
        <v>150.9</v>
      </c>
      <c r="Z289">
        <v>161.30000000000001</v>
      </c>
      <c r="AA289">
        <v>145.1</v>
      </c>
      <c r="AB289" s="1">
        <f t="shared" si="13"/>
        <v>152.05000000000001</v>
      </c>
      <c r="AC289">
        <v>151.5</v>
      </c>
      <c r="AD289">
        <v>159.5</v>
      </c>
      <c r="AE289">
        <v>155.80000000000001</v>
      </c>
      <c r="AF289">
        <f t="shared" si="14"/>
        <v>158.55000000000001</v>
      </c>
      <c r="AG289">
        <v>153.4</v>
      </c>
      <c r="AH289">
        <v>156.6</v>
      </c>
      <c r="AI289">
        <f t="shared" si="15"/>
        <v>155</v>
      </c>
    </row>
    <row r="290" spans="1:35" x14ac:dyDescent="0.25">
      <c r="A290" t="s">
        <v>28</v>
      </c>
      <c r="B290">
        <v>2021</v>
      </c>
      <c r="C290" t="s">
        <v>33</v>
      </c>
      <c r="D290">
        <v>142.5</v>
      </c>
      <c r="E290">
        <v>189.4</v>
      </c>
      <c r="F290">
        <v>163.19999999999999</v>
      </c>
      <c r="G290">
        <v>154.5</v>
      </c>
      <c r="H290">
        <v>168.2</v>
      </c>
      <c r="I290">
        <v>150.5</v>
      </c>
      <c r="J290">
        <v>141</v>
      </c>
      <c r="K290">
        <v>159.19999999999999</v>
      </c>
      <c r="L290">
        <v>111.7</v>
      </c>
      <c r="M290">
        <v>164</v>
      </c>
      <c r="N290">
        <v>160.6</v>
      </c>
      <c r="O290">
        <v>166.4</v>
      </c>
      <c r="P290">
        <v>154.5</v>
      </c>
      <c r="Q290" s="1">
        <f>AVERAGE(Table1[[#This Row],[Cereals and products]:[Food and beverages]])</f>
        <v>155.82307692307694</v>
      </c>
      <c r="R290">
        <v>186.1</v>
      </c>
      <c r="S290">
        <v>159.6</v>
      </c>
      <c r="T290">
        <v>154.4</v>
      </c>
      <c r="U290">
        <v>158.9</v>
      </c>
      <c r="V290" s="1">
        <f>AVERAGE(Table1[[#This Row],[Clothing]:[Clothing and footwear]])</f>
        <v>157.63333333333333</v>
      </c>
      <c r="X290">
        <v>156</v>
      </c>
      <c r="Y290">
        <v>154.80000000000001</v>
      </c>
      <c r="Z290">
        <v>164.6</v>
      </c>
      <c r="AA290">
        <v>151.30000000000001</v>
      </c>
      <c r="AB290" s="1">
        <f t="shared" si="13"/>
        <v>154.03333333333333</v>
      </c>
      <c r="AC290">
        <v>157.80000000000001</v>
      </c>
      <c r="AD290">
        <v>163.80000000000001</v>
      </c>
      <c r="AE290">
        <v>153.1</v>
      </c>
      <c r="AF290">
        <f t="shared" si="14"/>
        <v>158.85</v>
      </c>
      <c r="AG290">
        <v>157.30000000000001</v>
      </c>
      <c r="AH290">
        <v>156.69999999999999</v>
      </c>
      <c r="AI290">
        <f t="shared" si="15"/>
        <v>157</v>
      </c>
    </row>
    <row r="291" spans="1:35" x14ac:dyDescent="0.25">
      <c r="A291" t="s">
        <v>30</v>
      </c>
      <c r="B291">
        <v>2021</v>
      </c>
      <c r="C291" t="s">
        <v>33</v>
      </c>
      <c r="D291">
        <v>147.5</v>
      </c>
      <c r="E291">
        <v>197.5</v>
      </c>
      <c r="F291">
        <v>164.7</v>
      </c>
      <c r="G291">
        <v>155.6</v>
      </c>
      <c r="H291">
        <v>156.4</v>
      </c>
      <c r="I291">
        <v>157.30000000000001</v>
      </c>
      <c r="J291">
        <v>166.1</v>
      </c>
      <c r="K291">
        <v>161.1</v>
      </c>
      <c r="L291">
        <v>114.3</v>
      </c>
      <c r="M291">
        <v>162.6</v>
      </c>
      <c r="N291">
        <v>150.69999999999999</v>
      </c>
      <c r="O291">
        <v>170.3</v>
      </c>
      <c r="P291">
        <v>160.4</v>
      </c>
      <c r="Q291" s="1">
        <f>AVERAGE(Table1[[#This Row],[Cereals and products]:[Food and beverages]])</f>
        <v>158.80769230769226</v>
      </c>
      <c r="R291">
        <v>193.5</v>
      </c>
      <c r="S291">
        <v>155.1</v>
      </c>
      <c r="T291">
        <v>138.69999999999999</v>
      </c>
      <c r="U291">
        <v>152.6</v>
      </c>
      <c r="V291" s="1">
        <f>AVERAGE(Table1[[#This Row],[Clothing]:[Clothing and footwear]])</f>
        <v>148.79999999999998</v>
      </c>
      <c r="W291">
        <v>159.9</v>
      </c>
      <c r="X291">
        <v>154.80000000000001</v>
      </c>
      <c r="Y291">
        <v>147.19999999999999</v>
      </c>
      <c r="Z291">
        <v>156.9</v>
      </c>
      <c r="AA291">
        <v>141.69999999999999</v>
      </c>
      <c r="AB291" s="1">
        <f t="shared" si="13"/>
        <v>150.9</v>
      </c>
      <c r="AC291">
        <v>148.6</v>
      </c>
      <c r="AD291">
        <v>157.6</v>
      </c>
      <c r="AE291">
        <v>154.9</v>
      </c>
      <c r="AF291">
        <f t="shared" si="14"/>
        <v>155.9</v>
      </c>
      <c r="AG291">
        <v>150</v>
      </c>
      <c r="AH291">
        <v>156.9</v>
      </c>
      <c r="AI291">
        <f t="shared" si="15"/>
        <v>153.44999999999999</v>
      </c>
    </row>
    <row r="292" spans="1:35" x14ac:dyDescent="0.25">
      <c r="A292" t="s">
        <v>31</v>
      </c>
      <c r="B292">
        <v>2021</v>
      </c>
      <c r="C292" t="s">
        <v>33</v>
      </c>
      <c r="D292">
        <v>144.1</v>
      </c>
      <c r="E292">
        <v>192.2</v>
      </c>
      <c r="F292">
        <v>163.80000000000001</v>
      </c>
      <c r="G292">
        <v>154.9</v>
      </c>
      <c r="H292">
        <v>163.9</v>
      </c>
      <c r="I292">
        <v>153.69999999999999</v>
      </c>
      <c r="J292">
        <v>149.5</v>
      </c>
      <c r="K292">
        <v>159.80000000000001</v>
      </c>
      <c r="L292">
        <v>112.6</v>
      </c>
      <c r="M292">
        <v>163.5</v>
      </c>
      <c r="N292">
        <v>156.5</v>
      </c>
      <c r="O292">
        <v>168.2</v>
      </c>
      <c r="P292">
        <v>156.69999999999999</v>
      </c>
      <c r="Q292" s="1">
        <f>AVERAGE(Table1[[#This Row],[Cereals and products]:[Food and beverages]])</f>
        <v>156.87692307692308</v>
      </c>
      <c r="R292">
        <v>188.1</v>
      </c>
      <c r="S292">
        <v>157.80000000000001</v>
      </c>
      <c r="T292">
        <v>147.9</v>
      </c>
      <c r="U292">
        <v>156.4</v>
      </c>
      <c r="V292" s="1">
        <f>AVERAGE(Table1[[#This Row],[Clothing]:[Clothing and footwear]])</f>
        <v>154.03333333333333</v>
      </c>
      <c r="W292">
        <v>159.9</v>
      </c>
      <c r="X292">
        <v>155.5</v>
      </c>
      <c r="Y292">
        <v>151.19999999999999</v>
      </c>
      <c r="Z292">
        <v>161.69999999999999</v>
      </c>
      <c r="AA292">
        <v>146.19999999999999</v>
      </c>
      <c r="AB292" s="1">
        <f t="shared" si="13"/>
        <v>153.19999999999999</v>
      </c>
      <c r="AC292">
        <v>152.6</v>
      </c>
      <c r="AD292">
        <v>160.19999999999999</v>
      </c>
      <c r="AE292">
        <v>153.80000000000001</v>
      </c>
      <c r="AF292">
        <f t="shared" si="14"/>
        <v>157.75</v>
      </c>
      <c r="AG292">
        <v>153.80000000000001</v>
      </c>
      <c r="AH292">
        <v>156.80000000000001</v>
      </c>
      <c r="AI292">
        <f t="shared" si="15"/>
        <v>155.30000000000001</v>
      </c>
    </row>
    <row r="293" spans="1:35" x14ac:dyDescent="0.25">
      <c r="A293" t="s">
        <v>28</v>
      </c>
      <c r="B293">
        <v>2021</v>
      </c>
      <c r="C293" t="s">
        <v>34</v>
      </c>
      <c r="D293">
        <v>142.69999999999999</v>
      </c>
      <c r="E293">
        <v>195.5</v>
      </c>
      <c r="F293">
        <v>163.4</v>
      </c>
      <c r="G293">
        <v>155</v>
      </c>
      <c r="H293">
        <v>175.2</v>
      </c>
      <c r="I293">
        <v>160.6</v>
      </c>
      <c r="J293">
        <v>135.1</v>
      </c>
      <c r="K293">
        <v>161.1</v>
      </c>
      <c r="L293">
        <v>112.2</v>
      </c>
      <c r="M293">
        <v>164.4</v>
      </c>
      <c r="N293">
        <v>161.9</v>
      </c>
      <c r="O293">
        <v>166.8</v>
      </c>
      <c r="P293">
        <v>155.6</v>
      </c>
      <c r="Q293" s="1">
        <f>AVERAGE(Table1[[#This Row],[Cereals and products]:[Food and beverages]])</f>
        <v>157.65384615384616</v>
      </c>
      <c r="R293">
        <v>186.8</v>
      </c>
      <c r="S293">
        <v>160.69999999999999</v>
      </c>
      <c r="T293">
        <v>155.1</v>
      </c>
      <c r="U293">
        <v>159.9</v>
      </c>
      <c r="V293" s="1">
        <f>AVERAGE(Table1[[#This Row],[Clothing]:[Clothing and footwear]])</f>
        <v>158.56666666666663</v>
      </c>
      <c r="X293">
        <v>156</v>
      </c>
      <c r="Y293">
        <v>155.5</v>
      </c>
      <c r="Z293">
        <v>165.3</v>
      </c>
      <c r="AA293">
        <v>151.69999999999999</v>
      </c>
      <c r="AB293" s="1">
        <f t="shared" si="13"/>
        <v>154.4</v>
      </c>
      <c r="AC293">
        <v>158.6</v>
      </c>
      <c r="AD293">
        <v>164.1</v>
      </c>
      <c r="AE293">
        <v>154.6</v>
      </c>
      <c r="AF293">
        <f t="shared" si="14"/>
        <v>159.94999999999999</v>
      </c>
      <c r="AG293">
        <v>158</v>
      </c>
      <c r="AH293">
        <v>157.6</v>
      </c>
      <c r="AI293">
        <f t="shared" si="15"/>
        <v>157.80000000000001</v>
      </c>
    </row>
    <row r="294" spans="1:35" x14ac:dyDescent="0.25">
      <c r="A294" t="s">
        <v>30</v>
      </c>
      <c r="B294">
        <v>2021</v>
      </c>
      <c r="C294" t="s">
        <v>34</v>
      </c>
      <c r="D294">
        <v>147.6</v>
      </c>
      <c r="E294">
        <v>202.5</v>
      </c>
      <c r="F294">
        <v>166.4</v>
      </c>
      <c r="G294">
        <v>156</v>
      </c>
      <c r="H294">
        <v>161.4</v>
      </c>
      <c r="I294">
        <v>168.8</v>
      </c>
      <c r="J294">
        <v>161.6</v>
      </c>
      <c r="K294">
        <v>162.80000000000001</v>
      </c>
      <c r="L294">
        <v>114.8</v>
      </c>
      <c r="M294">
        <v>162.80000000000001</v>
      </c>
      <c r="N294">
        <v>151.5</v>
      </c>
      <c r="O294">
        <v>171.4</v>
      </c>
      <c r="P294">
        <v>162</v>
      </c>
      <c r="Q294" s="1">
        <f>AVERAGE(Table1[[#This Row],[Cereals and products]:[Food and beverages]])</f>
        <v>160.73846153846154</v>
      </c>
      <c r="R294">
        <v>194.4</v>
      </c>
      <c r="S294">
        <v>155.9</v>
      </c>
      <c r="T294">
        <v>139.30000000000001</v>
      </c>
      <c r="U294">
        <v>153.4</v>
      </c>
      <c r="V294" s="1">
        <f>AVERAGE(Table1[[#This Row],[Clothing]:[Clothing and footwear]])</f>
        <v>149.53333333333333</v>
      </c>
      <c r="W294">
        <v>161.4</v>
      </c>
      <c r="X294">
        <v>154.9</v>
      </c>
      <c r="Y294">
        <v>147.6</v>
      </c>
      <c r="Z294">
        <v>157.5</v>
      </c>
      <c r="AA294">
        <v>142.1</v>
      </c>
      <c r="AB294" s="1">
        <f t="shared" si="13"/>
        <v>151.5</v>
      </c>
      <c r="AC294">
        <v>149.1</v>
      </c>
      <c r="AD294">
        <v>157.6</v>
      </c>
      <c r="AE294">
        <v>156.6</v>
      </c>
      <c r="AF294">
        <f t="shared" si="14"/>
        <v>157.05000000000001</v>
      </c>
      <c r="AG294">
        <v>150.5</v>
      </c>
      <c r="AH294">
        <v>158</v>
      </c>
      <c r="AI294">
        <f t="shared" si="15"/>
        <v>154.25</v>
      </c>
    </row>
    <row r="295" spans="1:35" x14ac:dyDescent="0.25">
      <c r="A295" t="s">
        <v>31</v>
      </c>
      <c r="B295">
        <v>2021</v>
      </c>
      <c r="C295" t="s">
        <v>34</v>
      </c>
      <c r="D295">
        <v>144.30000000000001</v>
      </c>
      <c r="E295">
        <v>198</v>
      </c>
      <c r="F295">
        <v>164.6</v>
      </c>
      <c r="G295">
        <v>155.4</v>
      </c>
      <c r="H295">
        <v>170.1</v>
      </c>
      <c r="I295">
        <v>164.4</v>
      </c>
      <c r="J295">
        <v>144.1</v>
      </c>
      <c r="K295">
        <v>161.69999999999999</v>
      </c>
      <c r="L295">
        <v>113.1</v>
      </c>
      <c r="M295">
        <v>163.9</v>
      </c>
      <c r="N295">
        <v>157.6</v>
      </c>
      <c r="O295">
        <v>168.9</v>
      </c>
      <c r="P295">
        <v>158</v>
      </c>
      <c r="Q295" s="1">
        <f>AVERAGE(Table1[[#This Row],[Cereals and products]:[Food and beverages]])</f>
        <v>158.77692307692308</v>
      </c>
      <c r="R295">
        <v>188.8</v>
      </c>
      <c r="S295">
        <v>158.80000000000001</v>
      </c>
      <c r="T295">
        <v>148.5</v>
      </c>
      <c r="U295">
        <v>157.30000000000001</v>
      </c>
      <c r="V295" s="1">
        <f>AVERAGE(Table1[[#This Row],[Clothing]:[Clothing and footwear]])</f>
        <v>154.86666666666667</v>
      </c>
      <c r="W295">
        <v>161.4</v>
      </c>
      <c r="X295">
        <v>155.6</v>
      </c>
      <c r="Y295">
        <v>151.80000000000001</v>
      </c>
      <c r="Z295">
        <v>162.30000000000001</v>
      </c>
      <c r="AA295">
        <v>146.6</v>
      </c>
      <c r="AB295" s="1">
        <f t="shared" si="13"/>
        <v>153.85</v>
      </c>
      <c r="AC295">
        <v>153.19999999999999</v>
      </c>
      <c r="AD295">
        <v>160.30000000000001</v>
      </c>
      <c r="AE295">
        <v>155.4</v>
      </c>
      <c r="AF295">
        <f t="shared" si="14"/>
        <v>158.85000000000002</v>
      </c>
      <c r="AG295">
        <v>154.4</v>
      </c>
      <c r="AH295">
        <v>157.80000000000001</v>
      </c>
      <c r="AI295">
        <f t="shared" si="15"/>
        <v>156.10000000000002</v>
      </c>
    </row>
    <row r="296" spans="1:35" x14ac:dyDescent="0.25">
      <c r="A296" t="s">
        <v>28</v>
      </c>
      <c r="B296">
        <v>2021</v>
      </c>
      <c r="C296" t="s">
        <v>35</v>
      </c>
      <c r="D296">
        <v>145.1</v>
      </c>
      <c r="E296">
        <v>198.5</v>
      </c>
      <c r="F296">
        <v>168.6</v>
      </c>
      <c r="G296">
        <v>155.80000000000001</v>
      </c>
      <c r="H296">
        <v>184.4</v>
      </c>
      <c r="I296">
        <v>162.30000000000001</v>
      </c>
      <c r="J296">
        <v>138.4</v>
      </c>
      <c r="K296">
        <v>165.1</v>
      </c>
      <c r="L296">
        <v>114.3</v>
      </c>
      <c r="M296">
        <v>169.7</v>
      </c>
      <c r="N296">
        <v>164.6</v>
      </c>
      <c r="O296">
        <v>169.8</v>
      </c>
      <c r="P296">
        <v>158.69999999999999</v>
      </c>
      <c r="Q296" s="1">
        <f>AVERAGE(Table1[[#This Row],[Cereals and products]:[Food and beverages]])</f>
        <v>161.17692307692306</v>
      </c>
      <c r="R296">
        <v>189.6</v>
      </c>
      <c r="S296">
        <v>165.3</v>
      </c>
      <c r="T296">
        <v>160.6</v>
      </c>
      <c r="U296">
        <v>164.5</v>
      </c>
      <c r="V296" s="1">
        <f>AVERAGE(Table1[[#This Row],[Clothing]:[Clothing and footwear]])</f>
        <v>163.46666666666667</v>
      </c>
      <c r="X296">
        <v>161.69999999999999</v>
      </c>
      <c r="Y296">
        <v>158.80000000000001</v>
      </c>
      <c r="Z296">
        <v>169.1</v>
      </c>
      <c r="AA296">
        <v>153.19999999999999</v>
      </c>
      <c r="AB296" s="1">
        <f t="shared" si="13"/>
        <v>157.9</v>
      </c>
      <c r="AC296">
        <v>160</v>
      </c>
      <c r="AD296">
        <v>167.6</v>
      </c>
      <c r="AE296">
        <v>159.30000000000001</v>
      </c>
      <c r="AF296">
        <f t="shared" si="14"/>
        <v>164.2</v>
      </c>
      <c r="AG296">
        <v>161.1</v>
      </c>
      <c r="AH296">
        <v>161.1</v>
      </c>
      <c r="AI296">
        <f t="shared" si="15"/>
        <v>161.1</v>
      </c>
    </row>
    <row r="297" spans="1:35" x14ac:dyDescent="0.25">
      <c r="A297" t="s">
        <v>30</v>
      </c>
      <c r="B297">
        <v>2021</v>
      </c>
      <c r="C297" t="s">
        <v>35</v>
      </c>
      <c r="D297">
        <v>148.80000000000001</v>
      </c>
      <c r="E297">
        <v>204.3</v>
      </c>
      <c r="F297">
        <v>173</v>
      </c>
      <c r="G297">
        <v>156.5</v>
      </c>
      <c r="H297">
        <v>168.8</v>
      </c>
      <c r="I297">
        <v>172.5</v>
      </c>
      <c r="J297">
        <v>166.5</v>
      </c>
      <c r="K297">
        <v>165.9</v>
      </c>
      <c r="L297">
        <v>115.9</v>
      </c>
      <c r="M297">
        <v>165.2</v>
      </c>
      <c r="N297">
        <v>152</v>
      </c>
      <c r="O297">
        <v>171.1</v>
      </c>
      <c r="P297">
        <v>164.2</v>
      </c>
      <c r="Q297" s="1">
        <f>AVERAGE(Table1[[#This Row],[Cereals and products]:[Food and beverages]])</f>
        <v>163.43846153846155</v>
      </c>
      <c r="R297">
        <v>198.2</v>
      </c>
      <c r="S297">
        <v>156.5</v>
      </c>
      <c r="T297">
        <v>140.19999999999999</v>
      </c>
      <c r="U297">
        <v>154.1</v>
      </c>
      <c r="V297" s="1">
        <f>AVERAGE(Table1[[#This Row],[Clothing]:[Clothing and footwear]])</f>
        <v>150.26666666666665</v>
      </c>
      <c r="W297">
        <v>161.6</v>
      </c>
      <c r="X297">
        <v>155.5</v>
      </c>
      <c r="Y297">
        <v>150.1</v>
      </c>
      <c r="Z297">
        <v>160.4</v>
      </c>
      <c r="AA297">
        <v>145</v>
      </c>
      <c r="AB297" s="1">
        <f t="shared" si="13"/>
        <v>153.05000000000001</v>
      </c>
      <c r="AC297">
        <v>152.6</v>
      </c>
      <c r="AD297">
        <v>156.6</v>
      </c>
      <c r="AE297">
        <v>157.5</v>
      </c>
      <c r="AF297">
        <f t="shared" si="14"/>
        <v>158.94999999999999</v>
      </c>
      <c r="AG297">
        <v>152.30000000000001</v>
      </c>
      <c r="AH297">
        <v>159.5</v>
      </c>
      <c r="AI297">
        <f t="shared" si="15"/>
        <v>155.9</v>
      </c>
    </row>
    <row r="298" spans="1:35" x14ac:dyDescent="0.25">
      <c r="A298" t="s">
        <v>31</v>
      </c>
      <c r="B298">
        <v>2021</v>
      </c>
      <c r="C298" t="s">
        <v>35</v>
      </c>
      <c r="D298">
        <v>146.30000000000001</v>
      </c>
      <c r="E298">
        <v>200.5</v>
      </c>
      <c r="F298">
        <v>170.3</v>
      </c>
      <c r="G298">
        <v>156.1</v>
      </c>
      <c r="H298">
        <v>178.7</v>
      </c>
      <c r="I298">
        <v>167.1</v>
      </c>
      <c r="J298">
        <v>147.9</v>
      </c>
      <c r="K298">
        <v>165.4</v>
      </c>
      <c r="L298">
        <v>114.8</v>
      </c>
      <c r="M298">
        <v>168.2</v>
      </c>
      <c r="N298">
        <v>159.30000000000001</v>
      </c>
      <c r="O298">
        <v>170.4</v>
      </c>
      <c r="P298">
        <v>160.69999999999999</v>
      </c>
      <c r="Q298" s="1">
        <f>AVERAGE(Table1[[#This Row],[Cereals and products]:[Food and beverages]])</f>
        <v>161.9769230769231</v>
      </c>
      <c r="R298">
        <v>191.9</v>
      </c>
      <c r="S298">
        <v>161.80000000000001</v>
      </c>
      <c r="T298">
        <v>152.1</v>
      </c>
      <c r="U298">
        <v>160.4</v>
      </c>
      <c r="V298" s="1">
        <f>AVERAGE(Table1[[#This Row],[Clothing]:[Clothing and footwear]])</f>
        <v>158.1</v>
      </c>
      <c r="W298">
        <v>161.6</v>
      </c>
      <c r="X298">
        <v>159.4</v>
      </c>
      <c r="Y298">
        <v>154.69999999999999</v>
      </c>
      <c r="Z298">
        <v>165.8</v>
      </c>
      <c r="AA298">
        <v>148.9</v>
      </c>
      <c r="AB298" s="1">
        <f t="shared" si="13"/>
        <v>156.15</v>
      </c>
      <c r="AC298">
        <v>155.80000000000001</v>
      </c>
      <c r="AD298">
        <v>161.19999999999999</v>
      </c>
      <c r="AE298">
        <v>158.6</v>
      </c>
      <c r="AF298">
        <f t="shared" si="14"/>
        <v>162.19999999999999</v>
      </c>
      <c r="AG298">
        <v>156.80000000000001</v>
      </c>
      <c r="AH298">
        <v>160.4</v>
      </c>
      <c r="AI298">
        <f t="shared" si="15"/>
        <v>158.60000000000002</v>
      </c>
    </row>
    <row r="299" spans="1:35" x14ac:dyDescent="0.25">
      <c r="A299" t="s">
        <v>28</v>
      </c>
      <c r="B299">
        <v>2021</v>
      </c>
      <c r="C299" t="s">
        <v>36</v>
      </c>
      <c r="D299">
        <v>145.6</v>
      </c>
      <c r="E299">
        <v>200.1</v>
      </c>
      <c r="F299">
        <v>179.3</v>
      </c>
      <c r="G299">
        <v>156.1</v>
      </c>
      <c r="H299">
        <v>190.4</v>
      </c>
      <c r="I299">
        <v>158.6</v>
      </c>
      <c r="J299">
        <v>144.69999999999999</v>
      </c>
      <c r="K299">
        <v>165.5</v>
      </c>
      <c r="L299">
        <v>114.6</v>
      </c>
      <c r="M299">
        <v>170</v>
      </c>
      <c r="N299">
        <v>165.5</v>
      </c>
      <c r="O299">
        <v>171.7</v>
      </c>
      <c r="P299">
        <v>160.5</v>
      </c>
      <c r="Q299" s="1">
        <f>AVERAGE(Table1[[#This Row],[Cereals and products]:[Food and beverages]])</f>
        <v>163.27692307692308</v>
      </c>
      <c r="R299">
        <v>189.1</v>
      </c>
      <c r="S299">
        <v>165.3</v>
      </c>
      <c r="T299">
        <v>159.9</v>
      </c>
      <c r="U299">
        <v>164.6</v>
      </c>
      <c r="V299" s="1">
        <f>AVERAGE(Table1[[#This Row],[Clothing]:[Clothing and footwear]])</f>
        <v>163.26666666666668</v>
      </c>
      <c r="X299">
        <v>162.1</v>
      </c>
      <c r="Y299">
        <v>159.19999999999999</v>
      </c>
      <c r="Z299">
        <v>169.7</v>
      </c>
      <c r="AA299">
        <v>154.19999999999999</v>
      </c>
      <c r="AB299" s="1">
        <f t="shared" si="13"/>
        <v>158.49999999999997</v>
      </c>
      <c r="AC299">
        <v>160.4</v>
      </c>
      <c r="AD299">
        <v>166.8</v>
      </c>
      <c r="AE299">
        <v>159.4</v>
      </c>
      <c r="AF299">
        <f t="shared" si="14"/>
        <v>164.55</v>
      </c>
      <c r="AG299">
        <v>161.5</v>
      </c>
      <c r="AH299">
        <v>162.1</v>
      </c>
      <c r="AI299">
        <f t="shared" si="15"/>
        <v>161.80000000000001</v>
      </c>
    </row>
    <row r="300" spans="1:35" x14ac:dyDescent="0.25">
      <c r="A300" t="s">
        <v>30</v>
      </c>
      <c r="B300">
        <v>2021</v>
      </c>
      <c r="C300" t="s">
        <v>36</v>
      </c>
      <c r="D300">
        <v>149.19999999999999</v>
      </c>
      <c r="E300">
        <v>205.5</v>
      </c>
      <c r="F300">
        <v>182.8</v>
      </c>
      <c r="G300">
        <v>156.5</v>
      </c>
      <c r="H300">
        <v>172.2</v>
      </c>
      <c r="I300">
        <v>171.5</v>
      </c>
      <c r="J300">
        <v>176.2</v>
      </c>
      <c r="K300">
        <v>166.9</v>
      </c>
      <c r="L300">
        <v>116.1</v>
      </c>
      <c r="M300">
        <v>165.5</v>
      </c>
      <c r="N300">
        <v>152.30000000000001</v>
      </c>
      <c r="O300">
        <v>173.3</v>
      </c>
      <c r="P300">
        <v>166.2</v>
      </c>
      <c r="Q300" s="1">
        <f>AVERAGE(Table1[[#This Row],[Cereals and products]:[Food and beverages]])</f>
        <v>165.7076923076923</v>
      </c>
      <c r="R300">
        <v>195.6</v>
      </c>
      <c r="S300">
        <v>157.30000000000001</v>
      </c>
      <c r="T300">
        <v>140.5</v>
      </c>
      <c r="U300">
        <v>154.80000000000001</v>
      </c>
      <c r="V300" s="1">
        <f>AVERAGE(Table1[[#This Row],[Clothing]:[Clothing and footwear]])</f>
        <v>150.86666666666667</v>
      </c>
      <c r="W300">
        <v>160.5</v>
      </c>
      <c r="X300">
        <v>156.1</v>
      </c>
      <c r="Y300">
        <v>149.80000000000001</v>
      </c>
      <c r="Z300">
        <v>160.80000000000001</v>
      </c>
      <c r="AA300">
        <v>147.5</v>
      </c>
      <c r="AB300" s="1">
        <f t="shared" si="13"/>
        <v>153.47500000000002</v>
      </c>
      <c r="AC300">
        <v>150.69999999999999</v>
      </c>
      <c r="AD300">
        <v>158.1</v>
      </c>
      <c r="AE300">
        <v>158</v>
      </c>
      <c r="AF300">
        <f t="shared" si="14"/>
        <v>159.4</v>
      </c>
      <c r="AG300">
        <v>153.4</v>
      </c>
      <c r="AH300">
        <v>160.4</v>
      </c>
      <c r="AI300">
        <f t="shared" si="15"/>
        <v>156.9</v>
      </c>
    </row>
    <row r="301" spans="1:35" x14ac:dyDescent="0.25">
      <c r="A301" t="s">
        <v>31</v>
      </c>
      <c r="B301">
        <v>2021</v>
      </c>
      <c r="C301" t="s">
        <v>36</v>
      </c>
      <c r="D301">
        <v>146.69999999999999</v>
      </c>
      <c r="E301">
        <v>202</v>
      </c>
      <c r="F301">
        <v>180.7</v>
      </c>
      <c r="G301">
        <v>156.19999999999999</v>
      </c>
      <c r="H301">
        <v>183.7</v>
      </c>
      <c r="I301">
        <v>164.6</v>
      </c>
      <c r="J301">
        <v>155.4</v>
      </c>
      <c r="K301">
        <v>166</v>
      </c>
      <c r="L301">
        <v>115.1</v>
      </c>
      <c r="M301">
        <v>168.5</v>
      </c>
      <c r="N301">
        <v>160</v>
      </c>
      <c r="O301">
        <v>172.4</v>
      </c>
      <c r="P301">
        <v>162.6</v>
      </c>
      <c r="Q301" s="1">
        <f>AVERAGE(Table1[[#This Row],[Cereals and products]:[Food and beverages]])</f>
        <v>164.14615384615385</v>
      </c>
      <c r="R301">
        <v>190.8</v>
      </c>
      <c r="S301">
        <v>162.19999999999999</v>
      </c>
      <c r="T301">
        <v>151.80000000000001</v>
      </c>
      <c r="U301">
        <v>160.69999999999999</v>
      </c>
      <c r="V301" s="1">
        <f>AVERAGE(Table1[[#This Row],[Clothing]:[Clothing and footwear]])</f>
        <v>158.23333333333332</v>
      </c>
      <c r="W301">
        <v>160.5</v>
      </c>
      <c r="X301">
        <v>159.80000000000001</v>
      </c>
      <c r="Y301">
        <v>154.80000000000001</v>
      </c>
      <c r="Z301">
        <v>166.3</v>
      </c>
      <c r="AA301">
        <v>150.69999999999999</v>
      </c>
      <c r="AB301" s="1">
        <f t="shared" si="13"/>
        <v>156.44999999999999</v>
      </c>
      <c r="AC301">
        <v>154.9</v>
      </c>
      <c r="AD301">
        <v>161.69999999999999</v>
      </c>
      <c r="AE301">
        <v>158.80000000000001</v>
      </c>
      <c r="AF301">
        <f t="shared" si="14"/>
        <v>162.55000000000001</v>
      </c>
      <c r="AG301">
        <v>157.6</v>
      </c>
      <c r="AH301">
        <v>161.30000000000001</v>
      </c>
      <c r="AI301">
        <f t="shared" si="15"/>
        <v>159.44999999999999</v>
      </c>
    </row>
    <row r="302" spans="1:35" x14ac:dyDescent="0.25">
      <c r="A302" t="s">
        <v>28</v>
      </c>
      <c r="B302">
        <v>2021</v>
      </c>
      <c r="C302" t="s">
        <v>37</v>
      </c>
      <c r="D302">
        <v>145.1</v>
      </c>
      <c r="E302">
        <v>204.5</v>
      </c>
      <c r="F302">
        <v>180.4</v>
      </c>
      <c r="G302">
        <v>157.1</v>
      </c>
      <c r="H302">
        <v>188.7</v>
      </c>
      <c r="I302">
        <v>157.69999999999999</v>
      </c>
      <c r="J302">
        <v>152.80000000000001</v>
      </c>
      <c r="K302">
        <v>163.6</v>
      </c>
      <c r="L302">
        <v>113.9</v>
      </c>
      <c r="M302">
        <v>169.7</v>
      </c>
      <c r="N302">
        <v>166.2</v>
      </c>
      <c r="O302">
        <v>171</v>
      </c>
      <c r="P302">
        <v>161.69999999999999</v>
      </c>
      <c r="Q302" s="1">
        <f>AVERAGE(Table1[[#This Row],[Cereals and products]:[Food and beverages]])</f>
        <v>164.03076923076924</v>
      </c>
      <c r="R302">
        <v>189.7</v>
      </c>
      <c r="S302">
        <v>166</v>
      </c>
      <c r="T302">
        <v>161.1</v>
      </c>
      <c r="U302">
        <v>165.3</v>
      </c>
      <c r="V302" s="1">
        <f>AVERAGE(Table1[[#This Row],[Clothing]:[Clothing and footwear]])</f>
        <v>164.13333333333335</v>
      </c>
      <c r="X302">
        <v>162.5</v>
      </c>
      <c r="Y302">
        <v>160.30000000000001</v>
      </c>
      <c r="Z302">
        <v>170.4</v>
      </c>
      <c r="AA302">
        <v>157.1</v>
      </c>
      <c r="AB302" s="1">
        <f t="shared" si="13"/>
        <v>159.96666666666667</v>
      </c>
      <c r="AC302">
        <v>160.69999999999999</v>
      </c>
      <c r="AD302">
        <v>167.2</v>
      </c>
      <c r="AE302">
        <v>160.4</v>
      </c>
      <c r="AF302">
        <f t="shared" si="14"/>
        <v>165.4</v>
      </c>
      <c r="AG302">
        <v>162.80000000000001</v>
      </c>
      <c r="AH302">
        <v>163.19999999999999</v>
      </c>
      <c r="AI302">
        <f t="shared" si="15"/>
        <v>163</v>
      </c>
    </row>
    <row r="303" spans="1:35" x14ac:dyDescent="0.25">
      <c r="A303" t="s">
        <v>30</v>
      </c>
      <c r="B303">
        <v>2021</v>
      </c>
      <c r="C303" t="s">
        <v>37</v>
      </c>
      <c r="D303">
        <v>149.1</v>
      </c>
      <c r="E303">
        <v>210.9</v>
      </c>
      <c r="F303">
        <v>185</v>
      </c>
      <c r="G303">
        <v>158.19999999999999</v>
      </c>
      <c r="H303">
        <v>170.6</v>
      </c>
      <c r="I303">
        <v>170.9</v>
      </c>
      <c r="J303">
        <v>186.4</v>
      </c>
      <c r="K303">
        <v>164.7</v>
      </c>
      <c r="L303">
        <v>115.7</v>
      </c>
      <c r="M303">
        <v>165.5</v>
      </c>
      <c r="N303">
        <v>153.4</v>
      </c>
      <c r="O303">
        <v>173.5</v>
      </c>
      <c r="P303">
        <v>167.9</v>
      </c>
      <c r="Q303" s="1">
        <f>AVERAGE(Table1[[#This Row],[Cereals and products]:[Food and beverages]])</f>
        <v>167.06153846153848</v>
      </c>
      <c r="R303">
        <v>195.5</v>
      </c>
      <c r="S303">
        <v>157.9</v>
      </c>
      <c r="T303">
        <v>141.9</v>
      </c>
      <c r="U303">
        <v>155.5</v>
      </c>
      <c r="V303" s="1">
        <f>AVERAGE(Table1[[#This Row],[Clothing]:[Clothing and footwear]])</f>
        <v>151.76666666666668</v>
      </c>
      <c r="W303">
        <v>161.5</v>
      </c>
      <c r="X303">
        <v>157.69999999999999</v>
      </c>
      <c r="Y303">
        <v>150.69999999999999</v>
      </c>
      <c r="Z303">
        <v>161.5</v>
      </c>
      <c r="AA303">
        <v>149.5</v>
      </c>
      <c r="AB303" s="1">
        <f t="shared" si="13"/>
        <v>154.85</v>
      </c>
      <c r="AC303">
        <v>151.19999999999999</v>
      </c>
      <c r="AD303">
        <v>160.30000000000001</v>
      </c>
      <c r="AE303">
        <v>159.6</v>
      </c>
      <c r="AF303">
        <f t="shared" si="14"/>
        <v>160.55000000000001</v>
      </c>
      <c r="AG303">
        <v>155</v>
      </c>
      <c r="AH303">
        <v>161.80000000000001</v>
      </c>
      <c r="AI303">
        <f t="shared" si="15"/>
        <v>158.4</v>
      </c>
    </row>
    <row r="304" spans="1:35" x14ac:dyDescent="0.25">
      <c r="A304" t="s">
        <v>31</v>
      </c>
      <c r="B304">
        <v>2021</v>
      </c>
      <c r="C304" t="s">
        <v>37</v>
      </c>
      <c r="D304">
        <v>146.4</v>
      </c>
      <c r="E304">
        <v>206.8</v>
      </c>
      <c r="F304">
        <v>182.2</v>
      </c>
      <c r="G304">
        <v>157.5</v>
      </c>
      <c r="H304">
        <v>182.1</v>
      </c>
      <c r="I304">
        <v>163.9</v>
      </c>
      <c r="J304">
        <v>164.2</v>
      </c>
      <c r="K304">
        <v>164</v>
      </c>
      <c r="L304">
        <v>114.5</v>
      </c>
      <c r="M304">
        <v>168.3</v>
      </c>
      <c r="N304">
        <v>160.9</v>
      </c>
      <c r="O304">
        <v>172.2</v>
      </c>
      <c r="P304">
        <v>164</v>
      </c>
      <c r="Q304" s="1">
        <f>AVERAGE(Table1[[#This Row],[Cereals and products]:[Food and beverages]])</f>
        <v>165.15384615384616</v>
      </c>
      <c r="R304">
        <v>191.2</v>
      </c>
      <c r="S304">
        <v>162.80000000000001</v>
      </c>
      <c r="T304">
        <v>153.1</v>
      </c>
      <c r="U304">
        <v>161.4</v>
      </c>
      <c r="V304" s="1">
        <f>AVERAGE(Table1[[#This Row],[Clothing]:[Clothing and footwear]])</f>
        <v>159.1</v>
      </c>
      <c r="W304">
        <v>161.5</v>
      </c>
      <c r="X304">
        <v>160.69999999999999</v>
      </c>
      <c r="Y304">
        <v>155.80000000000001</v>
      </c>
      <c r="Z304">
        <v>167</v>
      </c>
      <c r="AA304">
        <v>153.1</v>
      </c>
      <c r="AB304" s="1">
        <f t="shared" si="13"/>
        <v>157.77500000000001</v>
      </c>
      <c r="AC304">
        <v>155.30000000000001</v>
      </c>
      <c r="AD304">
        <v>163.19999999999999</v>
      </c>
      <c r="AE304">
        <v>160.1</v>
      </c>
      <c r="AF304">
        <f t="shared" si="14"/>
        <v>163.55000000000001</v>
      </c>
      <c r="AG304">
        <v>159</v>
      </c>
      <c r="AH304">
        <v>162.5</v>
      </c>
      <c r="AI304">
        <f t="shared" si="15"/>
        <v>160.75</v>
      </c>
    </row>
    <row r="305" spans="1:35" x14ac:dyDescent="0.25">
      <c r="A305" t="s">
        <v>28</v>
      </c>
      <c r="B305">
        <v>2021</v>
      </c>
      <c r="C305" t="s">
        <v>38</v>
      </c>
      <c r="D305">
        <v>144.9</v>
      </c>
      <c r="E305">
        <v>202.3</v>
      </c>
      <c r="F305">
        <v>176.5</v>
      </c>
      <c r="G305">
        <v>157.5</v>
      </c>
      <c r="H305">
        <v>190.9</v>
      </c>
      <c r="I305">
        <v>155.69999999999999</v>
      </c>
      <c r="J305">
        <v>153.9</v>
      </c>
      <c r="K305">
        <v>162.80000000000001</v>
      </c>
      <c r="L305">
        <v>115.2</v>
      </c>
      <c r="M305">
        <v>169.8</v>
      </c>
      <c r="N305">
        <v>167.6</v>
      </c>
      <c r="O305">
        <v>171.9</v>
      </c>
      <c r="P305">
        <v>161.80000000000001</v>
      </c>
      <c r="Q305" s="1">
        <f>AVERAGE(Table1[[#This Row],[Cereals and products]:[Food and beverages]])</f>
        <v>163.90769230769232</v>
      </c>
      <c r="R305">
        <v>190.2</v>
      </c>
      <c r="S305">
        <v>167</v>
      </c>
      <c r="T305">
        <v>162.6</v>
      </c>
      <c r="U305">
        <v>166.3</v>
      </c>
      <c r="V305" s="1">
        <f>AVERAGE(Table1[[#This Row],[Clothing]:[Clothing and footwear]])</f>
        <v>165.3</v>
      </c>
      <c r="X305">
        <v>163.1</v>
      </c>
      <c r="Y305">
        <v>160.9</v>
      </c>
      <c r="Z305">
        <v>171.1</v>
      </c>
      <c r="AA305">
        <v>157.69999999999999</v>
      </c>
      <c r="AB305" s="1">
        <f t="shared" si="13"/>
        <v>160.56666666666666</v>
      </c>
      <c r="AC305">
        <v>161.1</v>
      </c>
      <c r="AD305">
        <v>167.5</v>
      </c>
      <c r="AE305">
        <v>160.30000000000001</v>
      </c>
      <c r="AF305">
        <f t="shared" si="14"/>
        <v>165.7</v>
      </c>
      <c r="AG305">
        <v>163.30000000000001</v>
      </c>
      <c r="AH305">
        <v>163.6</v>
      </c>
      <c r="AI305">
        <f t="shared" si="15"/>
        <v>163.44999999999999</v>
      </c>
    </row>
    <row r="306" spans="1:35" x14ac:dyDescent="0.25">
      <c r="A306" t="s">
        <v>30</v>
      </c>
      <c r="B306">
        <v>2021</v>
      </c>
      <c r="C306" t="s">
        <v>38</v>
      </c>
      <c r="D306">
        <v>149.30000000000001</v>
      </c>
      <c r="E306">
        <v>207.4</v>
      </c>
      <c r="F306">
        <v>174.1</v>
      </c>
      <c r="G306">
        <v>159.19999999999999</v>
      </c>
      <c r="H306">
        <v>175</v>
      </c>
      <c r="I306">
        <v>161.30000000000001</v>
      </c>
      <c r="J306">
        <v>183.3</v>
      </c>
      <c r="K306">
        <v>164.5</v>
      </c>
      <c r="L306">
        <v>120.4</v>
      </c>
      <c r="M306">
        <v>166.2</v>
      </c>
      <c r="N306">
        <v>154.80000000000001</v>
      </c>
      <c r="O306">
        <v>175.1</v>
      </c>
      <c r="P306">
        <v>167.3</v>
      </c>
      <c r="Q306" s="1">
        <f>AVERAGE(Table1[[#This Row],[Cereals and products]:[Food and beverages]])</f>
        <v>165.99230769230769</v>
      </c>
      <c r="R306">
        <v>196.5</v>
      </c>
      <c r="S306">
        <v>159.80000000000001</v>
      </c>
      <c r="T306">
        <v>143.6</v>
      </c>
      <c r="U306">
        <v>157.30000000000001</v>
      </c>
      <c r="V306" s="1">
        <f>AVERAGE(Table1[[#This Row],[Clothing]:[Clothing and footwear]])</f>
        <v>153.56666666666666</v>
      </c>
      <c r="W306">
        <v>162.1</v>
      </c>
      <c r="X306">
        <v>160.69999999999999</v>
      </c>
      <c r="Y306">
        <v>153.19999999999999</v>
      </c>
      <c r="Z306">
        <v>162.80000000000001</v>
      </c>
      <c r="AA306">
        <v>150.4</v>
      </c>
      <c r="AB306" s="1">
        <f t="shared" si="13"/>
        <v>156.6</v>
      </c>
      <c r="AC306">
        <v>153.69999999999999</v>
      </c>
      <c r="AD306">
        <v>160.4</v>
      </c>
      <c r="AE306">
        <v>159.6</v>
      </c>
      <c r="AF306">
        <f t="shared" si="14"/>
        <v>161.19999999999999</v>
      </c>
      <c r="AG306">
        <v>156</v>
      </c>
      <c r="AH306">
        <v>162.30000000000001</v>
      </c>
      <c r="AI306">
        <f t="shared" si="15"/>
        <v>159.15</v>
      </c>
    </row>
    <row r="307" spans="1:35" x14ac:dyDescent="0.25">
      <c r="A307" t="s">
        <v>31</v>
      </c>
      <c r="B307">
        <v>2021</v>
      </c>
      <c r="C307" t="s">
        <v>38</v>
      </c>
      <c r="D307">
        <v>146.6</v>
      </c>
      <c r="E307">
        <v>204</v>
      </c>
      <c r="F307">
        <v>172.8</v>
      </c>
      <c r="G307">
        <v>158.4</v>
      </c>
      <c r="H307">
        <v>188</v>
      </c>
      <c r="I307">
        <v>156.80000000000001</v>
      </c>
      <c r="J307">
        <v>162.19999999999999</v>
      </c>
      <c r="K307">
        <v>164.1</v>
      </c>
      <c r="L307">
        <v>119.7</v>
      </c>
      <c r="M307">
        <v>168.8</v>
      </c>
      <c r="N307">
        <v>162.69999999999999</v>
      </c>
      <c r="O307">
        <v>173.9</v>
      </c>
      <c r="P307">
        <v>164</v>
      </c>
      <c r="Q307" s="1">
        <f>AVERAGE(Table1[[#This Row],[Cereals and products]:[Food and beverages]])</f>
        <v>164.76923076923077</v>
      </c>
      <c r="R307">
        <v>192.1</v>
      </c>
      <c r="S307">
        <v>164.5</v>
      </c>
      <c r="T307">
        <v>155.30000000000001</v>
      </c>
      <c r="U307">
        <v>163.19999999999999</v>
      </c>
      <c r="V307" s="1">
        <f>AVERAGE(Table1[[#This Row],[Clothing]:[Clothing and footwear]])</f>
        <v>161</v>
      </c>
      <c r="W307">
        <v>162.1</v>
      </c>
      <c r="X307">
        <v>162.6</v>
      </c>
      <c r="Y307">
        <v>157.5</v>
      </c>
      <c r="Z307">
        <v>168.4</v>
      </c>
      <c r="AA307">
        <v>154</v>
      </c>
      <c r="AB307" s="1">
        <f t="shared" si="13"/>
        <v>159.05000000000001</v>
      </c>
      <c r="AC307">
        <v>157.6</v>
      </c>
      <c r="AD307">
        <v>163.80000000000001</v>
      </c>
      <c r="AE307">
        <v>160</v>
      </c>
      <c r="AF307">
        <f t="shared" si="14"/>
        <v>164.2</v>
      </c>
      <c r="AG307">
        <v>160</v>
      </c>
      <c r="AH307">
        <v>163.19999999999999</v>
      </c>
      <c r="AI307">
        <f t="shared" si="15"/>
        <v>161.6</v>
      </c>
    </row>
    <row r="308" spans="1:35" x14ac:dyDescent="0.25">
      <c r="A308" t="s">
        <v>28</v>
      </c>
      <c r="B308">
        <v>2021</v>
      </c>
      <c r="C308" t="s">
        <v>39</v>
      </c>
      <c r="D308">
        <v>145.4</v>
      </c>
      <c r="E308">
        <v>202.1</v>
      </c>
      <c r="F308">
        <v>172</v>
      </c>
      <c r="G308">
        <v>158</v>
      </c>
      <c r="H308">
        <v>195.5</v>
      </c>
      <c r="I308">
        <v>152.69999999999999</v>
      </c>
      <c r="J308">
        <v>151.4</v>
      </c>
      <c r="K308">
        <v>163.9</v>
      </c>
      <c r="L308">
        <v>119.3</v>
      </c>
      <c r="M308">
        <v>170.1</v>
      </c>
      <c r="N308">
        <v>168.3</v>
      </c>
      <c r="O308">
        <v>172.8</v>
      </c>
      <c r="P308">
        <v>162.1</v>
      </c>
      <c r="Q308" s="1">
        <f>AVERAGE(Table1[[#This Row],[Cereals and products]:[Food and beverages]])</f>
        <v>164.12307692307692</v>
      </c>
      <c r="R308">
        <v>190.5</v>
      </c>
      <c r="S308">
        <v>167.7</v>
      </c>
      <c r="T308">
        <v>163.6</v>
      </c>
      <c r="U308">
        <v>167.1</v>
      </c>
      <c r="V308" s="1">
        <f>AVERAGE(Table1[[#This Row],[Clothing]:[Clothing and footwear]])</f>
        <v>166.13333333333333</v>
      </c>
      <c r="X308">
        <v>163.69999999999999</v>
      </c>
      <c r="Y308">
        <v>161.30000000000001</v>
      </c>
      <c r="Z308">
        <v>171.9</v>
      </c>
      <c r="AA308">
        <v>157.80000000000001</v>
      </c>
      <c r="AB308" s="1">
        <f t="shared" si="13"/>
        <v>160.93333333333334</v>
      </c>
      <c r="AC308">
        <v>162.69999999999999</v>
      </c>
      <c r="AD308">
        <v>168.5</v>
      </c>
      <c r="AE308">
        <v>160.19999999999999</v>
      </c>
      <c r="AF308">
        <f t="shared" si="14"/>
        <v>166.05</v>
      </c>
      <c r="AG308">
        <v>163.80000000000001</v>
      </c>
      <c r="AH308">
        <v>164</v>
      </c>
      <c r="AI308">
        <f t="shared" si="15"/>
        <v>163.9</v>
      </c>
    </row>
    <row r="309" spans="1:35" x14ac:dyDescent="0.25">
      <c r="A309" t="s">
        <v>30</v>
      </c>
      <c r="B309">
        <v>2021</v>
      </c>
      <c r="C309" t="s">
        <v>39</v>
      </c>
      <c r="D309">
        <v>149.30000000000001</v>
      </c>
      <c r="E309">
        <v>207.4</v>
      </c>
      <c r="F309">
        <v>174.1</v>
      </c>
      <c r="G309">
        <v>159.1</v>
      </c>
      <c r="H309">
        <v>175</v>
      </c>
      <c r="I309">
        <v>161.19999999999999</v>
      </c>
      <c r="J309">
        <v>183.5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 s="1">
        <f>AVERAGE(Table1[[#This Row],[Cereals and products]:[Food and beverages]])</f>
        <v>165.99230769230769</v>
      </c>
      <c r="R309">
        <v>196.5</v>
      </c>
      <c r="S309">
        <v>159.80000000000001</v>
      </c>
      <c r="T309">
        <v>143.6</v>
      </c>
      <c r="U309">
        <v>157.4</v>
      </c>
      <c r="V309" s="1">
        <f>AVERAGE(Table1[[#This Row],[Clothing]:[Clothing and footwear]])</f>
        <v>153.6</v>
      </c>
      <c r="W309">
        <v>162.1</v>
      </c>
      <c r="X309">
        <v>160.80000000000001</v>
      </c>
      <c r="Y309">
        <v>153.30000000000001</v>
      </c>
      <c r="Z309">
        <v>162.80000000000001</v>
      </c>
      <c r="AA309">
        <v>150.5</v>
      </c>
      <c r="AB309" s="1">
        <f t="shared" si="13"/>
        <v>156.67500000000001</v>
      </c>
      <c r="AC309">
        <v>153.9</v>
      </c>
      <c r="AD309">
        <v>160.30000000000001</v>
      </c>
      <c r="AE309">
        <v>159.6</v>
      </c>
      <c r="AF309">
        <f t="shared" si="14"/>
        <v>161.19999999999999</v>
      </c>
      <c r="AG309">
        <v>156</v>
      </c>
      <c r="AH309">
        <v>162.30000000000001</v>
      </c>
      <c r="AI309">
        <f t="shared" si="15"/>
        <v>159.15</v>
      </c>
    </row>
    <row r="310" spans="1:35" x14ac:dyDescent="0.25">
      <c r="A310" t="s">
        <v>31</v>
      </c>
      <c r="B310">
        <v>2021</v>
      </c>
      <c r="C310" t="s">
        <v>39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156.69999999999999</v>
      </c>
      <c r="J310">
        <v>162.30000000000001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 s="1">
        <f>AVERAGE(Table1[[#This Row],[Cereals and products]:[Food and beverages]])</f>
        <v>164.76923076923077</v>
      </c>
      <c r="R310">
        <v>192.1</v>
      </c>
      <c r="S310">
        <v>164.6</v>
      </c>
      <c r="T310">
        <v>155.30000000000001</v>
      </c>
      <c r="U310">
        <v>163.30000000000001</v>
      </c>
      <c r="V310" s="1">
        <f>AVERAGE(Table1[[#This Row],[Clothing]:[Clothing and footwear]])</f>
        <v>161.06666666666666</v>
      </c>
      <c r="W310">
        <v>162.1</v>
      </c>
      <c r="X310">
        <v>162.6</v>
      </c>
      <c r="Y310">
        <v>157.5</v>
      </c>
      <c r="Z310">
        <v>168.4</v>
      </c>
      <c r="AA310">
        <v>154</v>
      </c>
      <c r="AB310" s="1">
        <f t="shared" si="13"/>
        <v>159.05000000000001</v>
      </c>
      <c r="AC310">
        <v>157.69999999999999</v>
      </c>
      <c r="AD310">
        <v>163.69999999999999</v>
      </c>
      <c r="AE310">
        <v>160</v>
      </c>
      <c r="AF310">
        <f t="shared" si="14"/>
        <v>164.2</v>
      </c>
      <c r="AG310">
        <v>160</v>
      </c>
      <c r="AH310">
        <v>163.19999999999999</v>
      </c>
      <c r="AI310">
        <f t="shared" si="15"/>
        <v>161.6</v>
      </c>
    </row>
    <row r="311" spans="1:35" x14ac:dyDescent="0.25">
      <c r="A311" t="s">
        <v>28</v>
      </c>
      <c r="B311">
        <v>2021</v>
      </c>
      <c r="C311" t="s">
        <v>40</v>
      </c>
      <c r="D311">
        <v>146.1</v>
      </c>
      <c r="E311">
        <v>202.5</v>
      </c>
      <c r="F311">
        <v>170.1</v>
      </c>
      <c r="G311">
        <v>158.4</v>
      </c>
      <c r="H311">
        <v>198.8</v>
      </c>
      <c r="I311">
        <v>152.6</v>
      </c>
      <c r="J311">
        <v>170.4</v>
      </c>
      <c r="K311">
        <v>165.2</v>
      </c>
      <c r="L311">
        <v>121.6</v>
      </c>
      <c r="M311">
        <v>170.6</v>
      </c>
      <c r="N311">
        <v>168.8</v>
      </c>
      <c r="O311">
        <v>173.6</v>
      </c>
      <c r="P311">
        <v>165.5</v>
      </c>
      <c r="Q311" s="1">
        <f>AVERAGE(Table1[[#This Row],[Cereals and products]:[Food and beverages]])</f>
        <v>166.47692307692307</v>
      </c>
      <c r="R311">
        <v>191.2</v>
      </c>
      <c r="S311">
        <v>168.9</v>
      </c>
      <c r="T311">
        <v>164.8</v>
      </c>
      <c r="U311">
        <v>168.3</v>
      </c>
      <c r="V311" s="1">
        <f>AVERAGE(Table1[[#This Row],[Clothing]:[Clothing and footwear]])</f>
        <v>167.33333333333334</v>
      </c>
      <c r="X311">
        <v>165.5</v>
      </c>
      <c r="Y311">
        <v>162</v>
      </c>
      <c r="Z311">
        <v>172.5</v>
      </c>
      <c r="AA311">
        <v>159.5</v>
      </c>
      <c r="AB311" s="1">
        <f t="shared" si="13"/>
        <v>162.33333333333334</v>
      </c>
      <c r="AC311">
        <v>163.19999999999999</v>
      </c>
      <c r="AD311">
        <v>169</v>
      </c>
      <c r="AE311">
        <v>161.1</v>
      </c>
      <c r="AF311">
        <f t="shared" si="14"/>
        <v>166.8</v>
      </c>
      <c r="AG311">
        <v>164.7</v>
      </c>
      <c r="AH311">
        <v>166.3</v>
      </c>
      <c r="AI311">
        <f t="shared" si="15"/>
        <v>165.5</v>
      </c>
    </row>
    <row r="312" spans="1:35" x14ac:dyDescent="0.25">
      <c r="A312" t="s">
        <v>30</v>
      </c>
      <c r="B312">
        <v>2021</v>
      </c>
      <c r="C312" t="s">
        <v>40</v>
      </c>
      <c r="D312">
        <v>150.1</v>
      </c>
      <c r="E312">
        <v>208.4</v>
      </c>
      <c r="F312">
        <v>173</v>
      </c>
      <c r="G312">
        <v>159.19999999999999</v>
      </c>
      <c r="H312">
        <v>176.6</v>
      </c>
      <c r="I312">
        <v>159.30000000000001</v>
      </c>
      <c r="J312">
        <v>214.4</v>
      </c>
      <c r="K312">
        <v>165.3</v>
      </c>
      <c r="L312">
        <v>122.5</v>
      </c>
      <c r="M312">
        <v>166.8</v>
      </c>
      <c r="N312">
        <v>155.4</v>
      </c>
      <c r="O312">
        <v>175.9</v>
      </c>
      <c r="P312">
        <v>171.5</v>
      </c>
      <c r="Q312" s="1">
        <f>AVERAGE(Table1[[#This Row],[Cereals and products]:[Food and beverages]])</f>
        <v>169.10769230769236</v>
      </c>
      <c r="R312">
        <v>197</v>
      </c>
      <c r="S312">
        <v>160.80000000000001</v>
      </c>
      <c r="T312">
        <v>144.4</v>
      </c>
      <c r="U312">
        <v>158.30000000000001</v>
      </c>
      <c r="V312" s="1">
        <f>AVERAGE(Table1[[#This Row],[Clothing]:[Clothing and footwear]])</f>
        <v>154.50000000000003</v>
      </c>
      <c r="W312">
        <v>163.6</v>
      </c>
      <c r="X312">
        <v>162.19999999999999</v>
      </c>
      <c r="Y312">
        <v>154.30000000000001</v>
      </c>
      <c r="Z312">
        <v>163.5</v>
      </c>
      <c r="AA312">
        <v>152.19999999999999</v>
      </c>
      <c r="AB312" s="1">
        <f t="shared" si="13"/>
        <v>158.07499999999999</v>
      </c>
      <c r="AC312">
        <v>155.1</v>
      </c>
      <c r="AD312">
        <v>160.30000000000001</v>
      </c>
      <c r="AE312">
        <v>160.30000000000001</v>
      </c>
      <c r="AF312">
        <f t="shared" si="14"/>
        <v>161.9</v>
      </c>
      <c r="AG312">
        <v>157</v>
      </c>
      <c r="AH312">
        <v>164.6</v>
      </c>
      <c r="AI312">
        <f t="shared" si="15"/>
        <v>160.80000000000001</v>
      </c>
    </row>
    <row r="313" spans="1:35" x14ac:dyDescent="0.25">
      <c r="A313" t="s">
        <v>31</v>
      </c>
      <c r="B313">
        <v>2021</v>
      </c>
      <c r="C313" t="s">
        <v>40</v>
      </c>
      <c r="D313">
        <v>147.4</v>
      </c>
      <c r="E313">
        <v>204.6</v>
      </c>
      <c r="F313">
        <v>171.2</v>
      </c>
      <c r="G313">
        <v>158.69999999999999</v>
      </c>
      <c r="H313">
        <v>190.6</v>
      </c>
      <c r="I313">
        <v>155.69999999999999</v>
      </c>
      <c r="J313">
        <v>185.3</v>
      </c>
      <c r="K313">
        <v>165.2</v>
      </c>
      <c r="L313">
        <v>121.9</v>
      </c>
      <c r="M313">
        <v>169.3</v>
      </c>
      <c r="N313">
        <v>163.19999999999999</v>
      </c>
      <c r="O313">
        <v>174.7</v>
      </c>
      <c r="P313">
        <v>167.7</v>
      </c>
      <c r="Q313" s="1">
        <f>AVERAGE(Table1[[#This Row],[Cereals and products]:[Food and beverages]])</f>
        <v>167.34615384615384</v>
      </c>
      <c r="R313">
        <v>192.7</v>
      </c>
      <c r="S313">
        <v>165.7</v>
      </c>
      <c r="T313">
        <v>156.30000000000001</v>
      </c>
      <c r="U313">
        <v>164.3</v>
      </c>
      <c r="V313" s="1">
        <f>AVERAGE(Table1[[#This Row],[Clothing]:[Clothing and footwear]])</f>
        <v>162.1</v>
      </c>
      <c r="W313">
        <v>163.6</v>
      </c>
      <c r="X313">
        <v>164.2</v>
      </c>
      <c r="Y313">
        <v>158.4</v>
      </c>
      <c r="Z313">
        <v>169.1</v>
      </c>
      <c r="AA313">
        <v>155.69999999999999</v>
      </c>
      <c r="AB313" s="1">
        <f t="shared" si="13"/>
        <v>160.47499999999997</v>
      </c>
      <c r="AC313">
        <v>158.6</v>
      </c>
      <c r="AD313">
        <v>163.9</v>
      </c>
      <c r="AE313">
        <v>160.80000000000001</v>
      </c>
      <c r="AF313">
        <f t="shared" si="14"/>
        <v>164.95</v>
      </c>
      <c r="AG313">
        <v>161</v>
      </c>
      <c r="AH313">
        <v>165.5</v>
      </c>
      <c r="AI313">
        <f t="shared" si="15"/>
        <v>163.25</v>
      </c>
    </row>
    <row r="314" spans="1:35" x14ac:dyDescent="0.25">
      <c r="A314" t="s">
        <v>28</v>
      </c>
      <c r="B314">
        <v>2021</v>
      </c>
      <c r="C314" t="s">
        <v>42</v>
      </c>
      <c r="D314">
        <v>146.9</v>
      </c>
      <c r="E314">
        <v>199.8</v>
      </c>
      <c r="F314">
        <v>171.5</v>
      </c>
      <c r="G314">
        <v>159.1</v>
      </c>
      <c r="H314">
        <v>198.4</v>
      </c>
      <c r="I314">
        <v>153.19999999999999</v>
      </c>
      <c r="J314">
        <v>183.9</v>
      </c>
      <c r="K314">
        <v>165.4</v>
      </c>
      <c r="L314">
        <v>122.1</v>
      </c>
      <c r="M314">
        <v>170.8</v>
      </c>
      <c r="N314">
        <v>169.1</v>
      </c>
      <c r="O314">
        <v>174.3</v>
      </c>
      <c r="P314">
        <v>167.5</v>
      </c>
      <c r="Q314" s="1">
        <f>AVERAGE(Table1[[#This Row],[Cereals and products]:[Food and beverages]])</f>
        <v>167.84615384615384</v>
      </c>
      <c r="R314">
        <v>191.4</v>
      </c>
      <c r="S314">
        <v>170.4</v>
      </c>
      <c r="T314">
        <v>166</v>
      </c>
      <c r="U314">
        <v>169.8</v>
      </c>
      <c r="V314" s="1">
        <f>AVERAGE(Table1[[#This Row],[Clothing]:[Clothing and footwear]])</f>
        <v>168.73333333333332</v>
      </c>
      <c r="X314">
        <v>165.3</v>
      </c>
      <c r="Y314">
        <v>162.9</v>
      </c>
      <c r="Z314">
        <v>173.4</v>
      </c>
      <c r="AA314">
        <v>158.9</v>
      </c>
      <c r="AB314" s="1">
        <f t="shared" si="13"/>
        <v>162.36666666666667</v>
      </c>
      <c r="AC314">
        <v>163.80000000000001</v>
      </c>
      <c r="AD314">
        <v>169.3</v>
      </c>
      <c r="AE314">
        <v>162.4</v>
      </c>
      <c r="AF314">
        <f t="shared" si="14"/>
        <v>167.9</v>
      </c>
      <c r="AG314">
        <v>165.2</v>
      </c>
      <c r="AH314">
        <v>167.6</v>
      </c>
      <c r="AI314">
        <f t="shared" si="15"/>
        <v>166.39999999999998</v>
      </c>
    </row>
    <row r="315" spans="1:35" x14ac:dyDescent="0.25">
      <c r="A315" t="s">
        <v>30</v>
      </c>
      <c r="B315">
        <v>2021</v>
      </c>
      <c r="C315" t="s">
        <v>42</v>
      </c>
      <c r="D315">
        <v>151</v>
      </c>
      <c r="E315">
        <v>204.9</v>
      </c>
      <c r="F315">
        <v>175.4</v>
      </c>
      <c r="G315">
        <v>159.6</v>
      </c>
      <c r="H315">
        <v>175.8</v>
      </c>
      <c r="I315">
        <v>160.30000000000001</v>
      </c>
      <c r="J315">
        <v>229.1</v>
      </c>
      <c r="K315">
        <v>165.1</v>
      </c>
      <c r="L315">
        <v>123.1</v>
      </c>
      <c r="M315">
        <v>167.2</v>
      </c>
      <c r="N315">
        <v>156.1</v>
      </c>
      <c r="O315">
        <v>176.8</v>
      </c>
      <c r="P315">
        <v>173.5</v>
      </c>
      <c r="Q315" s="1">
        <f>AVERAGE(Table1[[#This Row],[Cereals and products]:[Food and beverages]])</f>
        <v>170.60769230769228</v>
      </c>
      <c r="R315">
        <v>197</v>
      </c>
      <c r="S315">
        <v>162.30000000000001</v>
      </c>
      <c r="T315">
        <v>145.30000000000001</v>
      </c>
      <c r="U315">
        <v>159.69999999999999</v>
      </c>
      <c r="V315" s="1">
        <f>AVERAGE(Table1[[#This Row],[Clothing]:[Clothing and footwear]])</f>
        <v>155.76666666666668</v>
      </c>
      <c r="W315">
        <v>164.2</v>
      </c>
      <c r="X315">
        <v>161.6</v>
      </c>
      <c r="Y315">
        <v>155.19999999999999</v>
      </c>
      <c r="Z315">
        <v>164.2</v>
      </c>
      <c r="AA315">
        <v>151.19999999999999</v>
      </c>
      <c r="AB315" s="1">
        <f t="shared" si="13"/>
        <v>158.04999999999998</v>
      </c>
      <c r="AC315">
        <v>156.69999999999999</v>
      </c>
      <c r="AD315">
        <v>160.80000000000001</v>
      </c>
      <c r="AE315">
        <v>161.80000000000001</v>
      </c>
      <c r="AF315">
        <f t="shared" si="14"/>
        <v>163</v>
      </c>
      <c r="AG315">
        <v>157.30000000000001</v>
      </c>
      <c r="AH315">
        <v>165.6</v>
      </c>
      <c r="AI315">
        <f t="shared" si="15"/>
        <v>161.44999999999999</v>
      </c>
    </row>
    <row r="316" spans="1:35" x14ac:dyDescent="0.25">
      <c r="A316" t="s">
        <v>31</v>
      </c>
      <c r="B316">
        <v>2021</v>
      </c>
      <c r="C316" t="s">
        <v>42</v>
      </c>
      <c r="D316">
        <v>148.19999999999999</v>
      </c>
      <c r="E316">
        <v>201.6</v>
      </c>
      <c r="F316">
        <v>173</v>
      </c>
      <c r="G316">
        <v>159.30000000000001</v>
      </c>
      <c r="H316">
        <v>190.1</v>
      </c>
      <c r="I316">
        <v>156.5</v>
      </c>
      <c r="J316">
        <v>199.2</v>
      </c>
      <c r="K316">
        <v>165.3</v>
      </c>
      <c r="L316">
        <v>122.4</v>
      </c>
      <c r="M316">
        <v>169.6</v>
      </c>
      <c r="N316">
        <v>163.69999999999999</v>
      </c>
      <c r="O316">
        <v>175.5</v>
      </c>
      <c r="P316">
        <v>169.7</v>
      </c>
      <c r="Q316" s="1">
        <f>AVERAGE(Table1[[#This Row],[Cereals and products]:[Food and beverages]])</f>
        <v>168.77692307692308</v>
      </c>
      <c r="R316">
        <v>192.9</v>
      </c>
      <c r="S316">
        <v>167.2</v>
      </c>
      <c r="T316">
        <v>157.4</v>
      </c>
      <c r="U316">
        <v>165.8</v>
      </c>
      <c r="V316" s="1">
        <f>AVERAGE(Table1[[#This Row],[Clothing]:[Clothing and footwear]])</f>
        <v>163.46666666666667</v>
      </c>
      <c r="W316">
        <v>164.2</v>
      </c>
      <c r="X316">
        <v>163.9</v>
      </c>
      <c r="Y316">
        <v>159.30000000000001</v>
      </c>
      <c r="Z316">
        <v>169.9</v>
      </c>
      <c r="AA316">
        <v>154.80000000000001</v>
      </c>
      <c r="AB316" s="1">
        <f t="shared" si="13"/>
        <v>160.55000000000001</v>
      </c>
      <c r="AC316">
        <v>159.80000000000001</v>
      </c>
      <c r="AD316">
        <v>164.3</v>
      </c>
      <c r="AE316">
        <v>162.19999999999999</v>
      </c>
      <c r="AF316">
        <f t="shared" si="14"/>
        <v>166.05</v>
      </c>
      <c r="AG316">
        <v>161.4</v>
      </c>
      <c r="AH316">
        <v>166.7</v>
      </c>
      <c r="AI316">
        <f t="shared" si="15"/>
        <v>164.05</v>
      </c>
    </row>
    <row r="317" spans="1:35" x14ac:dyDescent="0.25">
      <c r="A317" t="s">
        <v>28</v>
      </c>
      <c r="B317">
        <v>2021</v>
      </c>
      <c r="C317" t="s">
        <v>43</v>
      </c>
      <c r="D317">
        <v>147.4</v>
      </c>
      <c r="E317">
        <v>197</v>
      </c>
      <c r="F317">
        <v>176.5</v>
      </c>
      <c r="G317">
        <v>159.80000000000001</v>
      </c>
      <c r="H317">
        <v>195.8</v>
      </c>
      <c r="I317">
        <v>152</v>
      </c>
      <c r="J317">
        <v>172.3</v>
      </c>
      <c r="K317">
        <v>164.5</v>
      </c>
      <c r="L317">
        <v>120.6</v>
      </c>
      <c r="M317">
        <v>171.7</v>
      </c>
      <c r="N317">
        <v>169.7</v>
      </c>
      <c r="O317">
        <v>175.1</v>
      </c>
      <c r="P317">
        <v>165.8</v>
      </c>
      <c r="Q317" s="1">
        <f>AVERAGE(Table1[[#This Row],[Cereals and products]:[Food and beverages]])</f>
        <v>166.78461538461536</v>
      </c>
      <c r="R317">
        <v>190.8</v>
      </c>
      <c r="S317">
        <v>171.8</v>
      </c>
      <c r="T317">
        <v>167.3</v>
      </c>
      <c r="U317">
        <v>171.2</v>
      </c>
      <c r="V317" s="1">
        <f>AVERAGE(Table1[[#This Row],[Clothing]:[Clothing and footwear]])</f>
        <v>170.1</v>
      </c>
      <c r="X317">
        <v>165.6</v>
      </c>
      <c r="Y317">
        <v>163.9</v>
      </c>
      <c r="Z317">
        <v>174</v>
      </c>
      <c r="AA317">
        <v>160.1</v>
      </c>
      <c r="AB317" s="1">
        <f t="shared" si="13"/>
        <v>163.20000000000002</v>
      </c>
      <c r="AC317">
        <v>164.5</v>
      </c>
      <c r="AD317">
        <v>169.7</v>
      </c>
      <c r="AE317">
        <v>162.80000000000001</v>
      </c>
      <c r="AF317">
        <f t="shared" si="14"/>
        <v>168.4</v>
      </c>
      <c r="AG317">
        <v>166</v>
      </c>
      <c r="AH317">
        <v>167</v>
      </c>
      <c r="AI317">
        <f t="shared" si="15"/>
        <v>166.5</v>
      </c>
    </row>
    <row r="318" spans="1:35" x14ac:dyDescent="0.25">
      <c r="A318" t="s">
        <v>30</v>
      </c>
      <c r="B318">
        <v>2021</v>
      </c>
      <c r="C318" t="s">
        <v>43</v>
      </c>
      <c r="D318">
        <v>151.6</v>
      </c>
      <c r="E318">
        <v>202.2</v>
      </c>
      <c r="F318">
        <v>180</v>
      </c>
      <c r="G318">
        <v>160</v>
      </c>
      <c r="H318">
        <v>173.5</v>
      </c>
      <c r="I318">
        <v>158.30000000000001</v>
      </c>
      <c r="J318">
        <v>219.5</v>
      </c>
      <c r="K318">
        <v>164.2</v>
      </c>
      <c r="L318">
        <v>121.9</v>
      </c>
      <c r="M318">
        <v>168.2</v>
      </c>
      <c r="N318">
        <v>156.5</v>
      </c>
      <c r="O318">
        <v>178.2</v>
      </c>
      <c r="P318">
        <v>172.2</v>
      </c>
      <c r="Q318" s="1">
        <f>AVERAGE(Table1[[#This Row],[Cereals and products]:[Food and beverages]])</f>
        <v>169.71538461538464</v>
      </c>
      <c r="R318">
        <v>196.8</v>
      </c>
      <c r="S318">
        <v>163.30000000000001</v>
      </c>
      <c r="T318">
        <v>146.69999999999999</v>
      </c>
      <c r="U318">
        <v>160.69999999999999</v>
      </c>
      <c r="V318" s="1">
        <f>AVERAGE(Table1[[#This Row],[Clothing]:[Clothing and footwear]])</f>
        <v>156.9</v>
      </c>
      <c r="W318">
        <v>163.4</v>
      </c>
      <c r="X318">
        <v>161.69999999999999</v>
      </c>
      <c r="Y318">
        <v>156</v>
      </c>
      <c r="Z318">
        <v>165.1</v>
      </c>
      <c r="AA318">
        <v>151.80000000000001</v>
      </c>
      <c r="AB318" s="1">
        <f t="shared" si="13"/>
        <v>158.22500000000002</v>
      </c>
      <c r="AC318">
        <v>157.6</v>
      </c>
      <c r="AD318">
        <v>160.6</v>
      </c>
      <c r="AE318">
        <v>162.4</v>
      </c>
      <c r="AF318">
        <f t="shared" si="14"/>
        <v>163.75</v>
      </c>
      <c r="AG318">
        <v>157.80000000000001</v>
      </c>
      <c r="AH318">
        <v>165.2</v>
      </c>
      <c r="AI318">
        <f t="shared" si="15"/>
        <v>161.5</v>
      </c>
    </row>
    <row r="319" spans="1:35" x14ac:dyDescent="0.25">
      <c r="A319" t="s">
        <v>31</v>
      </c>
      <c r="B319">
        <v>2021</v>
      </c>
      <c r="C319" t="s">
        <v>43</v>
      </c>
      <c r="D319">
        <v>148.69999999999999</v>
      </c>
      <c r="E319">
        <v>198.8</v>
      </c>
      <c r="F319">
        <v>177.9</v>
      </c>
      <c r="G319">
        <v>159.9</v>
      </c>
      <c r="H319">
        <v>187.6</v>
      </c>
      <c r="I319">
        <v>154.9</v>
      </c>
      <c r="J319">
        <v>188.3</v>
      </c>
      <c r="K319">
        <v>164.4</v>
      </c>
      <c r="L319">
        <v>121</v>
      </c>
      <c r="M319">
        <v>170.5</v>
      </c>
      <c r="N319">
        <v>164.2</v>
      </c>
      <c r="O319">
        <v>176.5</v>
      </c>
      <c r="P319">
        <v>168.2</v>
      </c>
      <c r="Q319" s="1">
        <f>AVERAGE(Table1[[#This Row],[Cereals and products]:[Food and beverages]])</f>
        <v>167.76153846153846</v>
      </c>
      <c r="R319">
        <v>192.4</v>
      </c>
      <c r="S319">
        <v>168.5</v>
      </c>
      <c r="T319">
        <v>158.69999999999999</v>
      </c>
      <c r="U319">
        <v>167</v>
      </c>
      <c r="V319" s="1">
        <f>AVERAGE(Table1[[#This Row],[Clothing]:[Clothing and footwear]])</f>
        <v>164.73333333333332</v>
      </c>
      <c r="W319">
        <v>163.4</v>
      </c>
      <c r="X319">
        <v>164.1</v>
      </c>
      <c r="Y319">
        <v>160.19999999999999</v>
      </c>
      <c r="Z319">
        <v>170.6</v>
      </c>
      <c r="AA319">
        <v>155.69999999999999</v>
      </c>
      <c r="AB319" s="1">
        <f t="shared" si="13"/>
        <v>160.85</v>
      </c>
      <c r="AC319">
        <v>160.6</v>
      </c>
      <c r="AD319">
        <v>164.4</v>
      </c>
      <c r="AE319">
        <v>162.6</v>
      </c>
      <c r="AF319">
        <f t="shared" si="14"/>
        <v>166.6</v>
      </c>
      <c r="AG319">
        <v>162</v>
      </c>
      <c r="AH319">
        <v>166.2</v>
      </c>
      <c r="AI319">
        <f t="shared" si="15"/>
        <v>164.1</v>
      </c>
    </row>
    <row r="320" spans="1:35" x14ac:dyDescent="0.25">
      <c r="A320" t="s">
        <v>28</v>
      </c>
      <c r="B320">
        <v>2022</v>
      </c>
      <c r="C320" t="s">
        <v>29</v>
      </c>
      <c r="D320">
        <v>148.30000000000001</v>
      </c>
      <c r="E320">
        <v>196.9</v>
      </c>
      <c r="F320">
        <v>178</v>
      </c>
      <c r="G320">
        <v>160.5</v>
      </c>
      <c r="H320">
        <v>192.6</v>
      </c>
      <c r="I320">
        <v>151.19999999999999</v>
      </c>
      <c r="J320">
        <v>159.19999999999999</v>
      </c>
      <c r="K320">
        <v>164</v>
      </c>
      <c r="L320">
        <v>119.3</v>
      </c>
      <c r="M320">
        <v>173.3</v>
      </c>
      <c r="N320">
        <v>169.8</v>
      </c>
      <c r="O320">
        <v>175.8</v>
      </c>
      <c r="P320">
        <v>164.1</v>
      </c>
      <c r="Q320" s="1">
        <f>AVERAGE(Table1[[#This Row],[Cereals and products]:[Food and beverages]])</f>
        <v>165.61538461538461</v>
      </c>
      <c r="R320">
        <v>190.7</v>
      </c>
      <c r="S320">
        <v>173.2</v>
      </c>
      <c r="T320">
        <v>169.3</v>
      </c>
      <c r="U320">
        <v>172.7</v>
      </c>
      <c r="V320" s="1">
        <f>AVERAGE(Table1[[#This Row],[Clothing]:[Clothing and footwear]])</f>
        <v>171.73333333333335</v>
      </c>
      <c r="X320">
        <v>165.8</v>
      </c>
      <c r="Y320">
        <v>164.9</v>
      </c>
      <c r="Z320">
        <v>174.7</v>
      </c>
      <c r="AA320">
        <v>160.80000000000001</v>
      </c>
      <c r="AB320" s="1">
        <f t="shared" si="13"/>
        <v>163.83333333333334</v>
      </c>
      <c r="AC320">
        <v>164.9</v>
      </c>
      <c r="AD320">
        <v>169.9</v>
      </c>
      <c r="AE320">
        <v>163.19999999999999</v>
      </c>
      <c r="AF320">
        <f t="shared" si="14"/>
        <v>168.95</v>
      </c>
      <c r="AG320">
        <v>166.6</v>
      </c>
      <c r="AH320">
        <v>166.4</v>
      </c>
      <c r="AI320">
        <f t="shared" si="15"/>
        <v>166.5</v>
      </c>
    </row>
    <row r="321" spans="1:35" x14ac:dyDescent="0.25">
      <c r="A321" t="s">
        <v>30</v>
      </c>
      <c r="B321">
        <v>2022</v>
      </c>
      <c r="C321" t="s">
        <v>29</v>
      </c>
      <c r="D321">
        <v>152.19999999999999</v>
      </c>
      <c r="E321">
        <v>202.1</v>
      </c>
      <c r="F321">
        <v>180.1</v>
      </c>
      <c r="G321">
        <v>160.4</v>
      </c>
      <c r="H321">
        <v>171</v>
      </c>
      <c r="I321">
        <v>156.5</v>
      </c>
      <c r="J321">
        <v>203.6</v>
      </c>
      <c r="K321">
        <v>163.80000000000001</v>
      </c>
      <c r="L321">
        <v>121.3</v>
      </c>
      <c r="M321">
        <v>169.8</v>
      </c>
      <c r="N321">
        <v>156.6</v>
      </c>
      <c r="O321">
        <v>179</v>
      </c>
      <c r="P321">
        <v>170.3</v>
      </c>
      <c r="Q321" s="1">
        <f>AVERAGE(Table1[[#This Row],[Cereals and products]:[Food and beverages]])</f>
        <v>168.2076923076923</v>
      </c>
      <c r="R321">
        <v>196.4</v>
      </c>
      <c r="S321">
        <v>164.7</v>
      </c>
      <c r="T321">
        <v>148.5</v>
      </c>
      <c r="U321">
        <v>162.19999999999999</v>
      </c>
      <c r="V321" s="1">
        <f>AVERAGE(Table1[[#This Row],[Clothing]:[Clothing and footwear]])</f>
        <v>158.46666666666667</v>
      </c>
      <c r="W321">
        <v>164.5</v>
      </c>
      <c r="X321">
        <v>161.6</v>
      </c>
      <c r="Y321">
        <v>156.80000000000001</v>
      </c>
      <c r="Z321">
        <v>166.1</v>
      </c>
      <c r="AA321">
        <v>152.69999999999999</v>
      </c>
      <c r="AB321" s="1">
        <f t="shared" si="13"/>
        <v>158.9</v>
      </c>
      <c r="AC321">
        <v>158.4</v>
      </c>
      <c r="AD321">
        <v>161</v>
      </c>
      <c r="AE321">
        <v>162.80000000000001</v>
      </c>
      <c r="AF321">
        <f t="shared" si="14"/>
        <v>164.45</v>
      </c>
      <c r="AG321">
        <v>158.6</v>
      </c>
      <c r="AH321">
        <v>165</v>
      </c>
      <c r="AI321">
        <f t="shared" si="15"/>
        <v>161.80000000000001</v>
      </c>
    </row>
    <row r="322" spans="1:35" x14ac:dyDescent="0.25">
      <c r="A322" t="s">
        <v>31</v>
      </c>
      <c r="B322">
        <v>2022</v>
      </c>
      <c r="C322" t="s">
        <v>29</v>
      </c>
      <c r="D322">
        <v>149.5</v>
      </c>
      <c r="E322">
        <v>198.7</v>
      </c>
      <c r="F322">
        <v>178.8</v>
      </c>
      <c r="G322">
        <v>160.5</v>
      </c>
      <c r="H322">
        <v>184.7</v>
      </c>
      <c r="I322">
        <v>153.69999999999999</v>
      </c>
      <c r="J322">
        <v>174.3</v>
      </c>
      <c r="K322">
        <v>163.9</v>
      </c>
      <c r="L322">
        <v>120</v>
      </c>
      <c r="M322">
        <v>172.1</v>
      </c>
      <c r="N322">
        <v>164.3</v>
      </c>
      <c r="O322">
        <v>177.3</v>
      </c>
      <c r="P322">
        <v>166.4</v>
      </c>
      <c r="Q322" s="1">
        <f>AVERAGE(Table1[[#This Row],[Cereals and products]:[Food and beverages]])</f>
        <v>166.47692307692307</v>
      </c>
      <c r="R322">
        <v>192.2</v>
      </c>
      <c r="S322">
        <v>169.9</v>
      </c>
      <c r="T322">
        <v>160.69999999999999</v>
      </c>
      <c r="U322">
        <v>168.5</v>
      </c>
      <c r="V322" s="1">
        <f>AVERAGE(Table1[[#This Row],[Clothing]:[Clothing and footwear]])</f>
        <v>166.36666666666667</v>
      </c>
      <c r="W322">
        <v>164.5</v>
      </c>
      <c r="X322">
        <v>164.2</v>
      </c>
      <c r="Y322">
        <v>161.1</v>
      </c>
      <c r="Z322">
        <v>171.4</v>
      </c>
      <c r="AA322">
        <v>156.5</v>
      </c>
      <c r="AB322" s="1">
        <f t="shared" ref="AB322:AB370" si="16">AVERAGE(W322,X322,Y322,AA322)</f>
        <v>161.57499999999999</v>
      </c>
      <c r="AC322">
        <v>161.19999999999999</v>
      </c>
      <c r="AD322">
        <v>164.7</v>
      </c>
      <c r="AE322">
        <v>163</v>
      </c>
      <c r="AF322">
        <f t="shared" ref="AF322:AF370" si="17">AVERAGE(Z322,AE322)</f>
        <v>167.2</v>
      </c>
      <c r="AG322">
        <v>162.69999999999999</v>
      </c>
      <c r="AH322">
        <v>165.7</v>
      </c>
      <c r="AI322">
        <f t="shared" ref="AI322:AI370" si="18">AVERAGE(AG322,AH322)</f>
        <v>164.2</v>
      </c>
    </row>
    <row r="323" spans="1:35" x14ac:dyDescent="0.25">
      <c r="A323" t="s">
        <v>28</v>
      </c>
      <c r="B323">
        <v>2022</v>
      </c>
      <c r="C323" t="s">
        <v>32</v>
      </c>
      <c r="D323">
        <v>148.80000000000001</v>
      </c>
      <c r="E323">
        <v>198.1</v>
      </c>
      <c r="F323">
        <v>175.5</v>
      </c>
      <c r="G323">
        <v>160.69999999999999</v>
      </c>
      <c r="H323">
        <v>192.6</v>
      </c>
      <c r="I323">
        <v>151.4</v>
      </c>
      <c r="J323">
        <v>155.19999999999999</v>
      </c>
      <c r="K323">
        <v>163.9</v>
      </c>
      <c r="L323">
        <v>118.1</v>
      </c>
      <c r="M323">
        <v>175.4</v>
      </c>
      <c r="N323">
        <v>170.5</v>
      </c>
      <c r="O323">
        <v>176.3</v>
      </c>
      <c r="P323">
        <v>163.9</v>
      </c>
      <c r="Q323" s="1">
        <f>AVERAGE(Table1[[#This Row],[Cereals and products]:[Food and beverages]])</f>
        <v>165.41538461538462</v>
      </c>
      <c r="R323">
        <v>191.5</v>
      </c>
      <c r="S323">
        <v>174.1</v>
      </c>
      <c r="T323">
        <v>171</v>
      </c>
      <c r="U323">
        <v>173.7</v>
      </c>
      <c r="V323" s="1">
        <f>AVERAGE(Table1[[#This Row],[Clothing]:[Clothing and footwear]])</f>
        <v>172.93333333333331</v>
      </c>
      <c r="X323">
        <v>167.4</v>
      </c>
      <c r="Y323">
        <v>165.7</v>
      </c>
      <c r="Z323">
        <v>175.3</v>
      </c>
      <c r="AA323">
        <v>161.19999999999999</v>
      </c>
      <c r="AB323" s="1">
        <f t="shared" si="16"/>
        <v>164.76666666666668</v>
      </c>
      <c r="AC323">
        <v>165.5</v>
      </c>
      <c r="AD323">
        <v>170.3</v>
      </c>
      <c r="AE323">
        <v>164.5</v>
      </c>
      <c r="AF323">
        <f t="shared" si="17"/>
        <v>169.9</v>
      </c>
      <c r="AG323">
        <v>167.3</v>
      </c>
      <c r="AH323">
        <v>166.7</v>
      </c>
      <c r="AI323">
        <f t="shared" si="18"/>
        <v>167</v>
      </c>
    </row>
    <row r="324" spans="1:35" x14ac:dyDescent="0.25">
      <c r="A324" t="s">
        <v>30</v>
      </c>
      <c r="B324">
        <v>2022</v>
      </c>
      <c r="C324" t="s">
        <v>32</v>
      </c>
      <c r="D324">
        <v>152.5</v>
      </c>
      <c r="E324">
        <v>205.2</v>
      </c>
      <c r="F324">
        <v>176.4</v>
      </c>
      <c r="G324">
        <v>160.6</v>
      </c>
      <c r="H324">
        <v>171.5</v>
      </c>
      <c r="I324">
        <v>156.4</v>
      </c>
      <c r="J324">
        <v>198</v>
      </c>
      <c r="K324">
        <v>163.19999999999999</v>
      </c>
      <c r="L324">
        <v>120.6</v>
      </c>
      <c r="M324">
        <v>172.2</v>
      </c>
      <c r="N324">
        <v>156.69999999999999</v>
      </c>
      <c r="O324">
        <v>180</v>
      </c>
      <c r="P324">
        <v>170.2</v>
      </c>
      <c r="Q324" s="1">
        <f>AVERAGE(Table1[[#This Row],[Cereals and products]:[Food and beverages]])</f>
        <v>167.96153846153845</v>
      </c>
      <c r="R324">
        <v>196.5</v>
      </c>
      <c r="S324">
        <v>165.7</v>
      </c>
      <c r="T324">
        <v>150.4</v>
      </c>
      <c r="U324">
        <v>163.4</v>
      </c>
      <c r="V324" s="1">
        <f>AVERAGE(Table1[[#This Row],[Clothing]:[Clothing and footwear]])</f>
        <v>159.83333333333334</v>
      </c>
      <c r="W324">
        <v>165.5</v>
      </c>
      <c r="X324">
        <v>163</v>
      </c>
      <c r="Y324">
        <v>157.4</v>
      </c>
      <c r="Z324">
        <v>167.2</v>
      </c>
      <c r="AA324">
        <v>153.1</v>
      </c>
      <c r="AB324" s="1">
        <f t="shared" si="16"/>
        <v>159.75</v>
      </c>
      <c r="AC324">
        <v>159.5</v>
      </c>
      <c r="AD324">
        <v>162</v>
      </c>
      <c r="AE324">
        <v>164.2</v>
      </c>
      <c r="AF324">
        <f t="shared" si="17"/>
        <v>165.7</v>
      </c>
      <c r="AG324">
        <v>159.4</v>
      </c>
      <c r="AH324">
        <v>165.5</v>
      </c>
      <c r="AI324">
        <f t="shared" si="18"/>
        <v>162.44999999999999</v>
      </c>
    </row>
    <row r="325" spans="1:35" x14ac:dyDescent="0.25">
      <c r="A325" t="s">
        <v>31</v>
      </c>
      <c r="B325">
        <v>2022</v>
      </c>
      <c r="C325" t="s">
        <v>32</v>
      </c>
      <c r="D325">
        <v>150</v>
      </c>
      <c r="E325">
        <v>200.6</v>
      </c>
      <c r="F325">
        <v>175.8</v>
      </c>
      <c r="G325">
        <v>160.69999999999999</v>
      </c>
      <c r="H325">
        <v>184.9</v>
      </c>
      <c r="I325">
        <v>153.69999999999999</v>
      </c>
      <c r="J325">
        <v>169.7</v>
      </c>
      <c r="K325">
        <v>163.69999999999999</v>
      </c>
      <c r="L325">
        <v>118.9</v>
      </c>
      <c r="M325">
        <v>174.3</v>
      </c>
      <c r="N325">
        <v>164.7</v>
      </c>
      <c r="O325">
        <v>178</v>
      </c>
      <c r="P325">
        <v>166.2</v>
      </c>
      <c r="Q325" s="1">
        <f>AVERAGE(Table1[[#This Row],[Cereals and products]:[Food and beverages]])</f>
        <v>166.24615384615387</v>
      </c>
      <c r="R325">
        <v>192.8</v>
      </c>
      <c r="S325">
        <v>170.8</v>
      </c>
      <c r="T325">
        <v>162.4</v>
      </c>
      <c r="U325">
        <v>169.6</v>
      </c>
      <c r="V325" s="1">
        <f>AVERAGE(Table1[[#This Row],[Clothing]:[Clothing and footwear]])</f>
        <v>167.60000000000002</v>
      </c>
      <c r="W325">
        <v>165.5</v>
      </c>
      <c r="X325">
        <v>165.7</v>
      </c>
      <c r="Y325">
        <v>161.80000000000001</v>
      </c>
      <c r="Z325">
        <v>172.2</v>
      </c>
      <c r="AA325">
        <v>156.9</v>
      </c>
      <c r="AB325" s="1">
        <f t="shared" si="16"/>
        <v>162.47499999999999</v>
      </c>
      <c r="AC325">
        <v>162.1</v>
      </c>
      <c r="AD325">
        <v>165.4</v>
      </c>
      <c r="AE325">
        <v>164.4</v>
      </c>
      <c r="AF325">
        <f t="shared" si="17"/>
        <v>168.3</v>
      </c>
      <c r="AG325">
        <v>163.5</v>
      </c>
      <c r="AH325">
        <v>166.1</v>
      </c>
      <c r="AI325">
        <f t="shared" si="18"/>
        <v>164.8</v>
      </c>
    </row>
    <row r="326" spans="1:35" x14ac:dyDescent="0.25">
      <c r="A326" t="s">
        <v>28</v>
      </c>
      <c r="B326">
        <v>2022</v>
      </c>
      <c r="C326" t="s">
        <v>33</v>
      </c>
      <c r="D326">
        <v>150.19999999999999</v>
      </c>
      <c r="E326">
        <v>208</v>
      </c>
      <c r="F326">
        <v>167.9</v>
      </c>
      <c r="G326">
        <v>162</v>
      </c>
      <c r="H326">
        <v>203.1</v>
      </c>
      <c r="I326">
        <v>155.9</v>
      </c>
      <c r="J326">
        <v>155.80000000000001</v>
      </c>
      <c r="K326">
        <v>164.2</v>
      </c>
      <c r="L326">
        <v>118.1</v>
      </c>
      <c r="M326">
        <v>178.7</v>
      </c>
      <c r="N326">
        <v>171.2</v>
      </c>
      <c r="O326">
        <v>177.4</v>
      </c>
      <c r="P326">
        <v>166.6</v>
      </c>
      <c r="Q326" s="1">
        <f>AVERAGE(Table1[[#This Row],[Cereals and products]:[Food and beverages]])</f>
        <v>167.62307692307695</v>
      </c>
      <c r="R326">
        <v>192.3</v>
      </c>
      <c r="S326">
        <v>175.4</v>
      </c>
      <c r="T326">
        <v>173.2</v>
      </c>
      <c r="U326">
        <v>175.1</v>
      </c>
      <c r="V326" s="1">
        <f>AVERAGE(Table1[[#This Row],[Clothing]:[Clothing and footwear]])</f>
        <v>174.56666666666669</v>
      </c>
      <c r="X326">
        <v>168.9</v>
      </c>
      <c r="Y326">
        <v>166.5</v>
      </c>
      <c r="Z326">
        <v>176</v>
      </c>
      <c r="AA326">
        <v>162</v>
      </c>
      <c r="AB326" s="1">
        <f t="shared" si="16"/>
        <v>165.79999999999998</v>
      </c>
      <c r="AC326">
        <v>166.6</v>
      </c>
      <c r="AD326">
        <v>170.6</v>
      </c>
      <c r="AE326">
        <v>167.4</v>
      </c>
      <c r="AF326">
        <f t="shared" si="17"/>
        <v>171.7</v>
      </c>
      <c r="AG326">
        <v>168.3</v>
      </c>
      <c r="AH326">
        <v>168.7</v>
      </c>
      <c r="AI326">
        <f t="shared" si="18"/>
        <v>168.5</v>
      </c>
    </row>
    <row r="327" spans="1:35" x14ac:dyDescent="0.25">
      <c r="A327" t="s">
        <v>30</v>
      </c>
      <c r="B327">
        <v>2022</v>
      </c>
      <c r="C327" t="s">
        <v>33</v>
      </c>
      <c r="D327">
        <v>153.69999999999999</v>
      </c>
      <c r="E327">
        <v>215.8</v>
      </c>
      <c r="F327">
        <v>167.7</v>
      </c>
      <c r="G327">
        <v>162.6</v>
      </c>
      <c r="H327">
        <v>180</v>
      </c>
      <c r="I327">
        <v>159.6</v>
      </c>
      <c r="J327">
        <v>188.4</v>
      </c>
      <c r="K327">
        <v>163.4</v>
      </c>
      <c r="L327">
        <v>120.3</v>
      </c>
      <c r="M327">
        <v>174.7</v>
      </c>
      <c r="N327">
        <v>157.1</v>
      </c>
      <c r="O327">
        <v>181.5</v>
      </c>
      <c r="P327">
        <v>171.5</v>
      </c>
      <c r="Q327" s="1">
        <f>AVERAGE(Table1[[#This Row],[Cereals and products]:[Food and beverages]])</f>
        <v>168.94615384615386</v>
      </c>
      <c r="R327">
        <v>197.5</v>
      </c>
      <c r="S327">
        <v>167.1</v>
      </c>
      <c r="T327">
        <v>152.6</v>
      </c>
      <c r="U327">
        <v>164.9</v>
      </c>
      <c r="V327" s="1">
        <f>AVERAGE(Table1[[#This Row],[Clothing]:[Clothing and footwear]])</f>
        <v>161.53333333333333</v>
      </c>
      <c r="W327">
        <v>165.3</v>
      </c>
      <c r="X327">
        <v>164.5</v>
      </c>
      <c r="Y327">
        <v>158.6</v>
      </c>
      <c r="Z327">
        <v>168.2</v>
      </c>
      <c r="AA327">
        <v>154.19999999999999</v>
      </c>
      <c r="AB327" s="1">
        <f t="shared" si="16"/>
        <v>160.64999999999998</v>
      </c>
      <c r="AC327">
        <v>160.80000000000001</v>
      </c>
      <c r="AD327">
        <v>162.69999999999999</v>
      </c>
      <c r="AE327">
        <v>166.8</v>
      </c>
      <c r="AF327">
        <f t="shared" si="17"/>
        <v>167.5</v>
      </c>
      <c r="AG327">
        <v>160.6</v>
      </c>
      <c r="AH327">
        <v>166.5</v>
      </c>
      <c r="AI327">
        <f t="shared" si="18"/>
        <v>163.55000000000001</v>
      </c>
    </row>
    <row r="328" spans="1:35" x14ac:dyDescent="0.25">
      <c r="A328" t="s">
        <v>31</v>
      </c>
      <c r="B328">
        <v>2022</v>
      </c>
      <c r="C328" t="s">
        <v>33</v>
      </c>
      <c r="D328">
        <v>151.30000000000001</v>
      </c>
      <c r="E328">
        <v>210.7</v>
      </c>
      <c r="F328">
        <v>167.8</v>
      </c>
      <c r="G328">
        <v>162.19999999999999</v>
      </c>
      <c r="H328">
        <v>194.6</v>
      </c>
      <c r="I328">
        <v>157.6</v>
      </c>
      <c r="J328">
        <v>166.9</v>
      </c>
      <c r="K328">
        <v>163.9</v>
      </c>
      <c r="L328">
        <v>118.8</v>
      </c>
      <c r="M328">
        <v>177.4</v>
      </c>
      <c r="N328">
        <v>165.3</v>
      </c>
      <c r="O328">
        <v>179.3</v>
      </c>
      <c r="P328">
        <v>168.4</v>
      </c>
      <c r="Q328" s="1">
        <f>AVERAGE(Table1[[#This Row],[Cereals and products]:[Food and beverages]])</f>
        <v>168.01538461538465</v>
      </c>
      <c r="R328">
        <v>193.7</v>
      </c>
      <c r="S328">
        <v>172.1</v>
      </c>
      <c r="T328">
        <v>164.6</v>
      </c>
      <c r="U328">
        <v>171.1</v>
      </c>
      <c r="V328" s="1">
        <f>AVERAGE(Table1[[#This Row],[Clothing]:[Clothing and footwear]])</f>
        <v>169.26666666666665</v>
      </c>
      <c r="W328">
        <v>165.3</v>
      </c>
      <c r="X328">
        <v>167.2</v>
      </c>
      <c r="Y328">
        <v>162.80000000000001</v>
      </c>
      <c r="Z328">
        <v>173</v>
      </c>
      <c r="AA328">
        <v>157.9</v>
      </c>
      <c r="AB328" s="1">
        <f t="shared" si="16"/>
        <v>163.30000000000001</v>
      </c>
      <c r="AC328">
        <v>163.30000000000001</v>
      </c>
      <c r="AD328">
        <v>166</v>
      </c>
      <c r="AE328">
        <v>167.2</v>
      </c>
      <c r="AF328">
        <f t="shared" si="17"/>
        <v>170.1</v>
      </c>
      <c r="AG328">
        <v>164.6</v>
      </c>
      <c r="AH328">
        <v>167.7</v>
      </c>
      <c r="AI328">
        <f t="shared" si="18"/>
        <v>166.14999999999998</v>
      </c>
    </row>
    <row r="329" spans="1:35" x14ac:dyDescent="0.25">
      <c r="A329" t="s">
        <v>28</v>
      </c>
      <c r="B329">
        <v>2022</v>
      </c>
      <c r="C329" t="s">
        <v>34</v>
      </c>
      <c r="D329">
        <v>151.80000000000001</v>
      </c>
      <c r="E329">
        <v>209.7</v>
      </c>
      <c r="F329">
        <v>164.5</v>
      </c>
      <c r="G329">
        <v>163.80000000000001</v>
      </c>
      <c r="H329">
        <v>207.4</v>
      </c>
      <c r="I329">
        <v>169.7</v>
      </c>
      <c r="J329">
        <v>153.6</v>
      </c>
      <c r="K329">
        <v>165.1</v>
      </c>
      <c r="L329">
        <v>118.2</v>
      </c>
      <c r="M329">
        <v>182.9</v>
      </c>
      <c r="N329">
        <v>172.4</v>
      </c>
      <c r="O329">
        <v>178.9</v>
      </c>
      <c r="P329">
        <v>168.6</v>
      </c>
      <c r="Q329" s="1">
        <f>AVERAGE(Table1[[#This Row],[Cereals and products]:[Food and beverages]])</f>
        <v>169.73846153846154</v>
      </c>
      <c r="R329">
        <v>192.8</v>
      </c>
      <c r="S329">
        <v>177.5</v>
      </c>
      <c r="T329">
        <v>175.1</v>
      </c>
      <c r="U329">
        <v>177.1</v>
      </c>
      <c r="V329" s="1">
        <f>AVERAGE(Table1[[#This Row],[Clothing]:[Clothing and footwear]])</f>
        <v>176.56666666666669</v>
      </c>
      <c r="X329">
        <v>173.3</v>
      </c>
      <c r="Y329">
        <v>167.7</v>
      </c>
      <c r="Z329">
        <v>177</v>
      </c>
      <c r="AA329">
        <v>166.2</v>
      </c>
      <c r="AB329" s="1">
        <f t="shared" si="16"/>
        <v>169.06666666666666</v>
      </c>
      <c r="AC329">
        <v>167.2</v>
      </c>
      <c r="AD329">
        <v>170.9</v>
      </c>
      <c r="AE329">
        <v>169</v>
      </c>
      <c r="AF329">
        <f t="shared" si="17"/>
        <v>173</v>
      </c>
      <c r="AG329">
        <v>170.2</v>
      </c>
      <c r="AH329">
        <v>170.8</v>
      </c>
      <c r="AI329">
        <f t="shared" si="18"/>
        <v>170.5</v>
      </c>
    </row>
    <row r="330" spans="1:35" x14ac:dyDescent="0.25">
      <c r="A330" t="s">
        <v>30</v>
      </c>
      <c r="B330">
        <v>2022</v>
      </c>
      <c r="C330" t="s">
        <v>34</v>
      </c>
      <c r="D330">
        <v>155.4</v>
      </c>
      <c r="E330">
        <v>215.8</v>
      </c>
      <c r="F330">
        <v>164.6</v>
      </c>
      <c r="G330">
        <v>164.2</v>
      </c>
      <c r="H330">
        <v>186</v>
      </c>
      <c r="I330">
        <v>175.9</v>
      </c>
      <c r="J330">
        <v>190.7</v>
      </c>
      <c r="K330">
        <v>164</v>
      </c>
      <c r="L330">
        <v>120.5</v>
      </c>
      <c r="M330">
        <v>178</v>
      </c>
      <c r="N330">
        <v>157.5</v>
      </c>
      <c r="O330">
        <v>183.3</v>
      </c>
      <c r="P330">
        <v>174.5</v>
      </c>
      <c r="Q330" s="1">
        <f>AVERAGE(Table1[[#This Row],[Cereals and products]:[Food and beverages]])</f>
        <v>171.56923076923078</v>
      </c>
      <c r="R330">
        <v>197.1</v>
      </c>
      <c r="S330">
        <v>168.4</v>
      </c>
      <c r="T330">
        <v>154.5</v>
      </c>
      <c r="U330">
        <v>166.3</v>
      </c>
      <c r="V330" s="1">
        <f>AVERAGE(Table1[[#This Row],[Clothing]:[Clothing and footwear]])</f>
        <v>163.06666666666666</v>
      </c>
      <c r="W330">
        <v>167</v>
      </c>
      <c r="X330">
        <v>170.5</v>
      </c>
      <c r="Y330">
        <v>159.80000000000001</v>
      </c>
      <c r="Z330">
        <v>169</v>
      </c>
      <c r="AA330">
        <v>159.30000000000001</v>
      </c>
      <c r="AB330" s="1">
        <f t="shared" si="16"/>
        <v>164.15</v>
      </c>
      <c r="AC330">
        <v>162.19999999999999</v>
      </c>
      <c r="AD330">
        <v>164</v>
      </c>
      <c r="AE330">
        <v>168.4</v>
      </c>
      <c r="AF330">
        <f t="shared" si="17"/>
        <v>168.7</v>
      </c>
      <c r="AG330">
        <v>163.1</v>
      </c>
      <c r="AH330">
        <v>169.2</v>
      </c>
      <c r="AI330">
        <f t="shared" si="18"/>
        <v>166.14999999999998</v>
      </c>
    </row>
    <row r="331" spans="1:35" x14ac:dyDescent="0.25">
      <c r="A331" t="s">
        <v>31</v>
      </c>
      <c r="B331">
        <v>2022</v>
      </c>
      <c r="C331" t="s">
        <v>34</v>
      </c>
      <c r="D331">
        <v>152.9</v>
      </c>
      <c r="E331">
        <v>211.8</v>
      </c>
      <c r="F331">
        <v>164.5</v>
      </c>
      <c r="G331">
        <v>163.9</v>
      </c>
      <c r="H331">
        <v>199.5</v>
      </c>
      <c r="I331">
        <v>172.6</v>
      </c>
      <c r="J331">
        <v>166.2</v>
      </c>
      <c r="K331">
        <v>164.7</v>
      </c>
      <c r="L331">
        <v>119</v>
      </c>
      <c r="M331">
        <v>181.3</v>
      </c>
      <c r="N331">
        <v>166.2</v>
      </c>
      <c r="O331">
        <v>180.9</v>
      </c>
      <c r="P331">
        <v>170.8</v>
      </c>
      <c r="Q331" s="1">
        <f>AVERAGE(Table1[[#This Row],[Cereals and products]:[Food and beverages]])</f>
        <v>170.33076923076925</v>
      </c>
      <c r="R331">
        <v>193.9</v>
      </c>
      <c r="S331">
        <v>173.9</v>
      </c>
      <c r="T331">
        <v>166.5</v>
      </c>
      <c r="U331">
        <v>172.8</v>
      </c>
      <c r="V331" s="1">
        <f>AVERAGE(Table1[[#This Row],[Clothing]:[Clothing and footwear]])</f>
        <v>171.06666666666669</v>
      </c>
      <c r="W331">
        <v>167</v>
      </c>
      <c r="X331">
        <v>172.2</v>
      </c>
      <c r="Y331">
        <v>164</v>
      </c>
      <c r="Z331">
        <v>174</v>
      </c>
      <c r="AA331">
        <v>162.6</v>
      </c>
      <c r="AB331" s="1">
        <f t="shared" si="16"/>
        <v>166.45</v>
      </c>
      <c r="AC331">
        <v>164.4</v>
      </c>
      <c r="AD331">
        <v>166.9</v>
      </c>
      <c r="AE331">
        <v>168.8</v>
      </c>
      <c r="AF331">
        <f t="shared" si="17"/>
        <v>171.4</v>
      </c>
      <c r="AG331">
        <v>166.8</v>
      </c>
      <c r="AH331">
        <v>170.1</v>
      </c>
      <c r="AI331">
        <f t="shared" si="18"/>
        <v>168.45</v>
      </c>
    </row>
    <row r="332" spans="1:35" x14ac:dyDescent="0.25">
      <c r="A332" t="s">
        <v>28</v>
      </c>
      <c r="B332">
        <v>2022</v>
      </c>
      <c r="C332" t="s">
        <v>35</v>
      </c>
      <c r="D332">
        <v>152.9</v>
      </c>
      <c r="E332">
        <v>214.7</v>
      </c>
      <c r="F332">
        <v>161.4</v>
      </c>
      <c r="G332">
        <v>164.6</v>
      </c>
      <c r="H332">
        <v>209.9</v>
      </c>
      <c r="I332">
        <v>168</v>
      </c>
      <c r="J332">
        <v>160.4</v>
      </c>
      <c r="K332">
        <v>165</v>
      </c>
      <c r="L332">
        <v>118.9</v>
      </c>
      <c r="M332">
        <v>186.6</v>
      </c>
      <c r="N332">
        <v>173.2</v>
      </c>
      <c r="O332">
        <v>180.4</v>
      </c>
      <c r="P332">
        <v>170.8</v>
      </c>
      <c r="Q332" s="1">
        <f>AVERAGE(Table1[[#This Row],[Cereals and products]:[Food and beverages]])</f>
        <v>171.2923076923077</v>
      </c>
      <c r="R332">
        <v>192.9</v>
      </c>
      <c r="S332">
        <v>179.3</v>
      </c>
      <c r="T332">
        <v>177.2</v>
      </c>
      <c r="U332">
        <v>179</v>
      </c>
      <c r="V332" s="1">
        <f>AVERAGE(Table1[[#This Row],[Clothing]:[Clothing and footwear]])</f>
        <v>178.5</v>
      </c>
      <c r="X332">
        <v>175.3</v>
      </c>
      <c r="Y332">
        <v>168.9</v>
      </c>
      <c r="Z332">
        <v>177.7</v>
      </c>
      <c r="AA332">
        <v>167.1</v>
      </c>
      <c r="AB332" s="1">
        <f t="shared" si="16"/>
        <v>170.43333333333337</v>
      </c>
      <c r="AC332">
        <v>167.6</v>
      </c>
      <c r="AD332">
        <v>171.8</v>
      </c>
      <c r="AE332">
        <v>168.5</v>
      </c>
      <c r="AF332">
        <f t="shared" si="17"/>
        <v>173.1</v>
      </c>
      <c r="AG332">
        <v>170.9</v>
      </c>
      <c r="AH332">
        <v>172.5</v>
      </c>
      <c r="AI332">
        <f t="shared" si="18"/>
        <v>171.7</v>
      </c>
    </row>
    <row r="333" spans="1:35" x14ac:dyDescent="0.25">
      <c r="A333" t="s">
        <v>30</v>
      </c>
      <c r="B333">
        <v>2022</v>
      </c>
      <c r="C333" t="s">
        <v>35</v>
      </c>
      <c r="D333">
        <v>156.69999999999999</v>
      </c>
      <c r="E333">
        <v>221.2</v>
      </c>
      <c r="F333">
        <v>164.1</v>
      </c>
      <c r="G333">
        <v>165.4</v>
      </c>
      <c r="H333">
        <v>189.5</v>
      </c>
      <c r="I333">
        <v>174.5</v>
      </c>
      <c r="J333">
        <v>203.2</v>
      </c>
      <c r="K333">
        <v>164.1</v>
      </c>
      <c r="L333">
        <v>121.2</v>
      </c>
      <c r="M333">
        <v>181.4</v>
      </c>
      <c r="N333">
        <v>158.5</v>
      </c>
      <c r="O333">
        <v>184.9</v>
      </c>
      <c r="P333">
        <v>177.5</v>
      </c>
      <c r="Q333" s="1">
        <f>AVERAGE(Table1[[#This Row],[Cereals and products]:[Food and beverages]])</f>
        <v>174.01538461538465</v>
      </c>
      <c r="R333">
        <v>197.5</v>
      </c>
      <c r="S333">
        <v>170</v>
      </c>
      <c r="T333">
        <v>155.9</v>
      </c>
      <c r="U333">
        <v>167.8</v>
      </c>
      <c r="V333" s="1">
        <f>AVERAGE(Table1[[#This Row],[Clothing]:[Clothing and footwear]])</f>
        <v>164.56666666666666</v>
      </c>
      <c r="W333">
        <v>167.5</v>
      </c>
      <c r="X333">
        <v>173.5</v>
      </c>
      <c r="Y333">
        <v>161.1</v>
      </c>
      <c r="Z333">
        <v>170.1</v>
      </c>
      <c r="AA333">
        <v>159.4</v>
      </c>
      <c r="AB333" s="1">
        <f t="shared" si="16"/>
        <v>165.375</v>
      </c>
      <c r="AC333">
        <v>163.19999999999999</v>
      </c>
      <c r="AD333">
        <v>165.2</v>
      </c>
      <c r="AE333">
        <v>168.2</v>
      </c>
      <c r="AF333">
        <f t="shared" si="17"/>
        <v>169.14999999999998</v>
      </c>
      <c r="AG333">
        <v>163.80000000000001</v>
      </c>
      <c r="AH333">
        <v>170.8</v>
      </c>
      <c r="AI333">
        <f t="shared" si="18"/>
        <v>167.3</v>
      </c>
    </row>
    <row r="334" spans="1:35" x14ac:dyDescent="0.25">
      <c r="A334" t="s">
        <v>31</v>
      </c>
      <c r="B334">
        <v>2022</v>
      </c>
      <c r="C334" t="s">
        <v>35</v>
      </c>
      <c r="D334">
        <v>154.1</v>
      </c>
      <c r="E334">
        <v>217</v>
      </c>
      <c r="F334">
        <v>162.4</v>
      </c>
      <c r="G334">
        <v>164.9</v>
      </c>
      <c r="H334">
        <v>202.4</v>
      </c>
      <c r="I334">
        <v>171</v>
      </c>
      <c r="J334">
        <v>174.9</v>
      </c>
      <c r="K334">
        <v>164.7</v>
      </c>
      <c r="L334">
        <v>119.7</v>
      </c>
      <c r="M334">
        <v>184.9</v>
      </c>
      <c r="N334">
        <v>167.1</v>
      </c>
      <c r="O334">
        <v>182.5</v>
      </c>
      <c r="P334">
        <v>173.3</v>
      </c>
      <c r="Q334" s="1">
        <f>AVERAGE(Table1[[#This Row],[Cereals and products]:[Food and beverages]])</f>
        <v>172.22307692307697</v>
      </c>
      <c r="R334">
        <v>194.1</v>
      </c>
      <c r="S334">
        <v>175.6</v>
      </c>
      <c r="T334">
        <v>168.4</v>
      </c>
      <c r="U334">
        <v>174.6</v>
      </c>
      <c r="V334" s="1">
        <f>AVERAGE(Table1[[#This Row],[Clothing]:[Clothing and footwear]])</f>
        <v>172.86666666666667</v>
      </c>
      <c r="W334">
        <v>167.5</v>
      </c>
      <c r="X334">
        <v>174.6</v>
      </c>
      <c r="Y334">
        <v>165.2</v>
      </c>
      <c r="Z334">
        <v>174.8</v>
      </c>
      <c r="AA334">
        <v>163</v>
      </c>
      <c r="AB334" s="1">
        <f t="shared" si="16"/>
        <v>167.57499999999999</v>
      </c>
      <c r="AC334">
        <v>165.1</v>
      </c>
      <c r="AD334">
        <v>167.9</v>
      </c>
      <c r="AE334">
        <v>168.4</v>
      </c>
      <c r="AF334">
        <f t="shared" si="17"/>
        <v>171.60000000000002</v>
      </c>
      <c r="AG334">
        <v>167.5</v>
      </c>
      <c r="AH334">
        <v>171.7</v>
      </c>
      <c r="AI334">
        <f t="shared" si="18"/>
        <v>169.6</v>
      </c>
    </row>
    <row r="335" spans="1:35" x14ac:dyDescent="0.25">
      <c r="A335" t="s">
        <v>28</v>
      </c>
      <c r="B335">
        <v>2022</v>
      </c>
      <c r="C335" t="s">
        <v>36</v>
      </c>
      <c r="D335">
        <v>153.80000000000001</v>
      </c>
      <c r="E335">
        <v>217.2</v>
      </c>
      <c r="F335">
        <v>169.6</v>
      </c>
      <c r="G335">
        <v>165.4</v>
      </c>
      <c r="H335">
        <v>208.1</v>
      </c>
      <c r="I335">
        <v>165.8</v>
      </c>
      <c r="J335">
        <v>167.3</v>
      </c>
      <c r="K335">
        <v>164.6</v>
      </c>
      <c r="L335">
        <v>119.1</v>
      </c>
      <c r="M335">
        <v>188.9</v>
      </c>
      <c r="N335">
        <v>174.2</v>
      </c>
      <c r="O335">
        <v>181.9</v>
      </c>
      <c r="P335">
        <v>172.4</v>
      </c>
      <c r="Q335" s="1">
        <f>AVERAGE(Table1[[#This Row],[Cereals and products]:[Food and beverages]])</f>
        <v>172.94615384615386</v>
      </c>
      <c r="R335">
        <v>192.9</v>
      </c>
      <c r="S335">
        <v>180.7</v>
      </c>
      <c r="T335">
        <v>178.7</v>
      </c>
      <c r="U335">
        <v>180.4</v>
      </c>
      <c r="V335" s="1">
        <f>AVERAGE(Table1[[#This Row],[Clothing]:[Clothing and footwear]])</f>
        <v>179.93333333333331</v>
      </c>
      <c r="X335">
        <v>176.7</v>
      </c>
      <c r="Y335">
        <v>170.3</v>
      </c>
      <c r="Z335">
        <v>178.2</v>
      </c>
      <c r="AA335">
        <v>165.5</v>
      </c>
      <c r="AB335" s="1">
        <f t="shared" si="16"/>
        <v>170.83333333333334</v>
      </c>
      <c r="AC335">
        <v>168</v>
      </c>
      <c r="AD335">
        <v>172.6</v>
      </c>
      <c r="AE335">
        <v>169.5</v>
      </c>
      <c r="AF335">
        <f t="shared" si="17"/>
        <v>173.85</v>
      </c>
      <c r="AG335">
        <v>171</v>
      </c>
      <c r="AH335">
        <v>173.6</v>
      </c>
      <c r="AI335">
        <f t="shared" si="18"/>
        <v>172.3</v>
      </c>
    </row>
    <row r="336" spans="1:35" x14ac:dyDescent="0.25">
      <c r="A336" t="s">
        <v>30</v>
      </c>
      <c r="B336">
        <v>2022</v>
      </c>
      <c r="C336" t="s">
        <v>36</v>
      </c>
      <c r="D336">
        <v>157.5</v>
      </c>
      <c r="E336">
        <v>223.4</v>
      </c>
      <c r="F336">
        <v>172.8</v>
      </c>
      <c r="G336">
        <v>166.4</v>
      </c>
      <c r="H336">
        <v>188.6</v>
      </c>
      <c r="I336">
        <v>174.1</v>
      </c>
      <c r="J336">
        <v>211.5</v>
      </c>
      <c r="K336">
        <v>163.6</v>
      </c>
      <c r="L336">
        <v>121.4</v>
      </c>
      <c r="M336">
        <v>183.5</v>
      </c>
      <c r="N336">
        <v>159.1</v>
      </c>
      <c r="O336">
        <v>186.3</v>
      </c>
      <c r="P336">
        <v>179.3</v>
      </c>
      <c r="Q336" s="1">
        <f>AVERAGE(Table1[[#This Row],[Cereals and products]:[Food and beverages]])</f>
        <v>175.96153846153845</v>
      </c>
      <c r="R336">
        <v>198.3</v>
      </c>
      <c r="S336">
        <v>171.6</v>
      </c>
      <c r="T336">
        <v>157.4</v>
      </c>
      <c r="U336">
        <v>169.4</v>
      </c>
      <c r="V336" s="1">
        <f>AVERAGE(Table1[[#This Row],[Clothing]:[Clothing and footwear]])</f>
        <v>166.13333333333333</v>
      </c>
      <c r="W336">
        <v>166.8</v>
      </c>
      <c r="X336">
        <v>174.9</v>
      </c>
      <c r="Y336">
        <v>162.1</v>
      </c>
      <c r="Z336">
        <v>170.9</v>
      </c>
      <c r="AA336">
        <v>157.19999999999999</v>
      </c>
      <c r="AB336" s="1">
        <f t="shared" si="16"/>
        <v>165.25</v>
      </c>
      <c r="AC336">
        <v>164.1</v>
      </c>
      <c r="AD336">
        <v>166.5</v>
      </c>
      <c r="AE336">
        <v>169.2</v>
      </c>
      <c r="AF336">
        <f t="shared" si="17"/>
        <v>170.05</v>
      </c>
      <c r="AG336">
        <v>163.80000000000001</v>
      </c>
      <c r="AH336">
        <v>171.4</v>
      </c>
      <c r="AI336">
        <f t="shared" si="18"/>
        <v>167.60000000000002</v>
      </c>
    </row>
    <row r="337" spans="1:35" x14ac:dyDescent="0.25">
      <c r="A337" t="s">
        <v>31</v>
      </c>
      <c r="B337">
        <v>2022</v>
      </c>
      <c r="C337" t="s">
        <v>36</v>
      </c>
      <c r="D337">
        <v>155</v>
      </c>
      <c r="E337">
        <v>219.4</v>
      </c>
      <c r="F337">
        <v>170.8</v>
      </c>
      <c r="G337">
        <v>165.8</v>
      </c>
      <c r="H337">
        <v>200.9</v>
      </c>
      <c r="I337">
        <v>169.7</v>
      </c>
      <c r="J337">
        <v>182.3</v>
      </c>
      <c r="K337">
        <v>164.3</v>
      </c>
      <c r="L337">
        <v>119.9</v>
      </c>
      <c r="M337">
        <v>187.1</v>
      </c>
      <c r="N337">
        <v>167.9</v>
      </c>
      <c r="O337">
        <v>183.9</v>
      </c>
      <c r="P337">
        <v>174.9</v>
      </c>
      <c r="Q337" s="1">
        <f>AVERAGE(Table1[[#This Row],[Cereals and products]:[Food and beverages]])</f>
        <v>173.99230769230769</v>
      </c>
      <c r="R337">
        <v>194.3</v>
      </c>
      <c r="S337">
        <v>177.1</v>
      </c>
      <c r="T337">
        <v>169.9</v>
      </c>
      <c r="U337">
        <v>176</v>
      </c>
      <c r="V337" s="1">
        <f>AVERAGE(Table1[[#This Row],[Clothing]:[Clothing and footwear]])</f>
        <v>174.33333333333334</v>
      </c>
      <c r="W337">
        <v>166.8</v>
      </c>
      <c r="X337">
        <v>176</v>
      </c>
      <c r="Y337">
        <v>166.4</v>
      </c>
      <c r="Z337">
        <v>175.4</v>
      </c>
      <c r="AA337">
        <v>161.1</v>
      </c>
      <c r="AB337" s="1">
        <f t="shared" si="16"/>
        <v>167.57500000000002</v>
      </c>
      <c r="AC337">
        <v>165.8</v>
      </c>
      <c r="AD337">
        <v>169</v>
      </c>
      <c r="AE337">
        <v>169.4</v>
      </c>
      <c r="AF337">
        <f t="shared" si="17"/>
        <v>172.4</v>
      </c>
      <c r="AG337">
        <v>167.5</v>
      </c>
      <c r="AH337">
        <v>172.6</v>
      </c>
      <c r="AI337">
        <f t="shared" si="18"/>
        <v>170.05</v>
      </c>
    </row>
    <row r="338" spans="1:35" x14ac:dyDescent="0.25">
      <c r="A338" t="s">
        <v>28</v>
      </c>
      <c r="B338">
        <v>2022</v>
      </c>
      <c r="C338" t="s">
        <v>37</v>
      </c>
      <c r="D338">
        <v>155.19999999999999</v>
      </c>
      <c r="E338">
        <v>210.8</v>
      </c>
      <c r="F338">
        <v>174.3</v>
      </c>
      <c r="G338">
        <v>166.3</v>
      </c>
      <c r="H338">
        <v>202.2</v>
      </c>
      <c r="I338">
        <v>169.6</v>
      </c>
      <c r="J338">
        <v>168.6</v>
      </c>
      <c r="K338">
        <v>164.4</v>
      </c>
      <c r="L338">
        <v>119.2</v>
      </c>
      <c r="M338">
        <v>191.8</v>
      </c>
      <c r="N338">
        <v>174.5</v>
      </c>
      <c r="O338">
        <v>183.1</v>
      </c>
      <c r="P338">
        <v>172.5</v>
      </c>
      <c r="Q338" s="1">
        <f>AVERAGE(Table1[[#This Row],[Cereals and products]:[Food and beverages]])</f>
        <v>173.26923076923077</v>
      </c>
      <c r="R338">
        <v>193.2</v>
      </c>
      <c r="S338">
        <v>182</v>
      </c>
      <c r="T338">
        <v>180.3</v>
      </c>
      <c r="U338">
        <v>181.7</v>
      </c>
      <c r="V338" s="1">
        <f>AVERAGE(Table1[[#This Row],[Clothing]:[Clothing and footwear]])</f>
        <v>181.33333333333334</v>
      </c>
      <c r="X338">
        <v>179.6</v>
      </c>
      <c r="Y338">
        <v>171.3</v>
      </c>
      <c r="Z338">
        <v>178.8</v>
      </c>
      <c r="AA338">
        <v>166.3</v>
      </c>
      <c r="AB338" s="1">
        <f t="shared" si="16"/>
        <v>172.4</v>
      </c>
      <c r="AC338">
        <v>168.6</v>
      </c>
      <c r="AD338">
        <v>174.7</v>
      </c>
      <c r="AE338">
        <v>169.7</v>
      </c>
      <c r="AF338">
        <f t="shared" si="17"/>
        <v>174.25</v>
      </c>
      <c r="AG338">
        <v>171.8</v>
      </c>
      <c r="AH338">
        <v>174.3</v>
      </c>
      <c r="AI338">
        <f t="shared" si="18"/>
        <v>173.05</v>
      </c>
    </row>
    <row r="339" spans="1:35" x14ac:dyDescent="0.25">
      <c r="A339" t="s">
        <v>30</v>
      </c>
      <c r="B339">
        <v>2022</v>
      </c>
      <c r="C339" t="s">
        <v>37</v>
      </c>
      <c r="D339">
        <v>159.30000000000001</v>
      </c>
      <c r="E339">
        <v>217.1</v>
      </c>
      <c r="F339">
        <v>176.6</v>
      </c>
      <c r="G339">
        <v>167.1</v>
      </c>
      <c r="H339">
        <v>184.8</v>
      </c>
      <c r="I339">
        <v>179.5</v>
      </c>
      <c r="J339">
        <v>208.5</v>
      </c>
      <c r="K339">
        <v>164</v>
      </c>
      <c r="L339">
        <v>121.5</v>
      </c>
      <c r="M339">
        <v>186.3</v>
      </c>
      <c r="N339">
        <v>159.80000000000001</v>
      </c>
      <c r="O339">
        <v>187.7</v>
      </c>
      <c r="P339">
        <v>179.4</v>
      </c>
      <c r="Q339" s="1">
        <f>AVERAGE(Table1[[#This Row],[Cereals and products]:[Food and beverages]])</f>
        <v>176.27692307692308</v>
      </c>
      <c r="R339">
        <v>198.6</v>
      </c>
      <c r="S339">
        <v>172.7</v>
      </c>
      <c r="T339">
        <v>158.69999999999999</v>
      </c>
      <c r="U339">
        <v>170.6</v>
      </c>
      <c r="V339" s="1">
        <f>AVERAGE(Table1[[#This Row],[Clothing]:[Clothing and footwear]])</f>
        <v>167.33333333333334</v>
      </c>
      <c r="W339">
        <v>167.8</v>
      </c>
      <c r="X339">
        <v>179.5</v>
      </c>
      <c r="Y339">
        <v>163.1</v>
      </c>
      <c r="Z339">
        <v>171.7</v>
      </c>
      <c r="AA339">
        <v>157.4</v>
      </c>
      <c r="AB339" s="1">
        <f t="shared" si="16"/>
        <v>166.95</v>
      </c>
      <c r="AC339">
        <v>164.6</v>
      </c>
      <c r="AD339">
        <v>169.1</v>
      </c>
      <c r="AE339">
        <v>169.8</v>
      </c>
      <c r="AF339">
        <f t="shared" si="17"/>
        <v>170.75</v>
      </c>
      <c r="AG339">
        <v>164.7</v>
      </c>
      <c r="AH339">
        <v>172.3</v>
      </c>
      <c r="AI339">
        <f t="shared" si="18"/>
        <v>168.5</v>
      </c>
    </row>
    <row r="340" spans="1:35" x14ac:dyDescent="0.25">
      <c r="A340" t="s">
        <v>31</v>
      </c>
      <c r="B340">
        <v>2022</v>
      </c>
      <c r="C340" t="s">
        <v>37</v>
      </c>
      <c r="D340">
        <v>156.5</v>
      </c>
      <c r="E340">
        <v>213</v>
      </c>
      <c r="F340">
        <v>175.2</v>
      </c>
      <c r="G340">
        <v>166.6</v>
      </c>
      <c r="H340">
        <v>195.8</v>
      </c>
      <c r="I340">
        <v>174.2</v>
      </c>
      <c r="J340">
        <v>182.1</v>
      </c>
      <c r="K340">
        <v>164.3</v>
      </c>
      <c r="L340">
        <v>120</v>
      </c>
      <c r="M340">
        <v>190</v>
      </c>
      <c r="N340">
        <v>168.4</v>
      </c>
      <c r="O340">
        <v>185.2</v>
      </c>
      <c r="P340">
        <v>175</v>
      </c>
      <c r="Q340" s="1">
        <f>AVERAGE(Table1[[#This Row],[Cereals and products]:[Food and beverages]])</f>
        <v>174.33076923076925</v>
      </c>
      <c r="R340">
        <v>194.6</v>
      </c>
      <c r="S340">
        <v>178.3</v>
      </c>
      <c r="T340">
        <v>171.3</v>
      </c>
      <c r="U340">
        <v>177.3</v>
      </c>
      <c r="V340" s="1">
        <f>AVERAGE(Table1[[#This Row],[Clothing]:[Clothing and footwear]])</f>
        <v>175.63333333333335</v>
      </c>
      <c r="W340">
        <v>167.8</v>
      </c>
      <c r="X340">
        <v>179.6</v>
      </c>
      <c r="Y340">
        <v>167.4</v>
      </c>
      <c r="Z340">
        <v>176.1</v>
      </c>
      <c r="AA340">
        <v>161.6</v>
      </c>
      <c r="AB340" s="1">
        <f t="shared" si="16"/>
        <v>169.1</v>
      </c>
      <c r="AC340">
        <v>166.3</v>
      </c>
      <c r="AD340">
        <v>171.4</v>
      </c>
      <c r="AE340">
        <v>169.7</v>
      </c>
      <c r="AF340">
        <f t="shared" si="17"/>
        <v>172.89999999999998</v>
      </c>
      <c r="AG340">
        <v>168.4</v>
      </c>
      <c r="AH340">
        <v>173.4</v>
      </c>
      <c r="AI340">
        <f t="shared" si="18"/>
        <v>170.9</v>
      </c>
    </row>
    <row r="341" spans="1:35" x14ac:dyDescent="0.25">
      <c r="A341" t="s">
        <v>28</v>
      </c>
      <c r="B341">
        <v>2022</v>
      </c>
      <c r="C341" t="s">
        <v>38</v>
      </c>
      <c r="D341">
        <v>159.5</v>
      </c>
      <c r="E341">
        <v>204.1</v>
      </c>
      <c r="F341">
        <v>168.3</v>
      </c>
      <c r="G341">
        <v>167.9</v>
      </c>
      <c r="H341">
        <v>198.1</v>
      </c>
      <c r="I341">
        <v>169.2</v>
      </c>
      <c r="J341">
        <v>173.1</v>
      </c>
      <c r="K341">
        <v>167.1</v>
      </c>
      <c r="L341">
        <v>120.2</v>
      </c>
      <c r="M341">
        <v>195.6</v>
      </c>
      <c r="N341">
        <v>174.8</v>
      </c>
      <c r="O341">
        <v>184</v>
      </c>
      <c r="P341">
        <v>173.9</v>
      </c>
      <c r="Q341" s="1">
        <f>AVERAGE(Table1[[#This Row],[Cereals and products]:[Food and beverages]])</f>
        <v>173.5230769230769</v>
      </c>
      <c r="R341">
        <v>193.7</v>
      </c>
      <c r="S341">
        <v>183.2</v>
      </c>
      <c r="T341">
        <v>181.7</v>
      </c>
      <c r="U341">
        <v>183</v>
      </c>
      <c r="V341" s="1">
        <f>AVERAGE(Table1[[#This Row],[Clothing]:[Clothing and footwear]])</f>
        <v>182.63333333333333</v>
      </c>
      <c r="X341">
        <v>179.1</v>
      </c>
      <c r="Y341">
        <v>172.3</v>
      </c>
      <c r="Z341">
        <v>179.4</v>
      </c>
      <c r="AA341">
        <v>166.6</v>
      </c>
      <c r="AB341" s="1">
        <f t="shared" si="16"/>
        <v>172.66666666666666</v>
      </c>
      <c r="AC341">
        <v>169.3</v>
      </c>
      <c r="AD341">
        <v>175.7</v>
      </c>
      <c r="AE341">
        <v>171.1</v>
      </c>
      <c r="AF341">
        <f t="shared" si="17"/>
        <v>175.25</v>
      </c>
      <c r="AG341">
        <v>172.6</v>
      </c>
      <c r="AH341">
        <v>175.3</v>
      </c>
      <c r="AI341">
        <f t="shared" si="18"/>
        <v>173.95</v>
      </c>
    </row>
    <row r="342" spans="1:35" x14ac:dyDescent="0.25">
      <c r="A342" t="s">
        <v>30</v>
      </c>
      <c r="B342">
        <v>2022</v>
      </c>
      <c r="C342" t="s">
        <v>38</v>
      </c>
      <c r="D342">
        <v>162.1</v>
      </c>
      <c r="E342">
        <v>210.9</v>
      </c>
      <c r="F342">
        <v>170.6</v>
      </c>
      <c r="G342">
        <v>168.4</v>
      </c>
      <c r="H342">
        <v>182.5</v>
      </c>
      <c r="I342">
        <v>177.1</v>
      </c>
      <c r="J342">
        <v>213.1</v>
      </c>
      <c r="K342">
        <v>167.3</v>
      </c>
      <c r="L342">
        <v>122.2</v>
      </c>
      <c r="M342">
        <v>189.7</v>
      </c>
      <c r="N342">
        <v>160.5</v>
      </c>
      <c r="O342">
        <v>188.9</v>
      </c>
      <c r="P342">
        <v>180.4</v>
      </c>
      <c r="Q342" s="1">
        <f>AVERAGE(Table1[[#This Row],[Cereals and products]:[Food and beverages]])</f>
        <v>176.43846153846152</v>
      </c>
      <c r="R342">
        <v>198.7</v>
      </c>
      <c r="S342">
        <v>173.7</v>
      </c>
      <c r="T342">
        <v>160</v>
      </c>
      <c r="U342">
        <v>171.6</v>
      </c>
      <c r="V342" s="1">
        <f>AVERAGE(Table1[[#This Row],[Clothing]:[Clothing and footwear]])</f>
        <v>168.43333333333331</v>
      </c>
      <c r="W342">
        <v>169</v>
      </c>
      <c r="X342">
        <v>178.4</v>
      </c>
      <c r="Y342">
        <v>164.2</v>
      </c>
      <c r="Z342">
        <v>172.6</v>
      </c>
      <c r="AA342">
        <v>157.69999999999999</v>
      </c>
      <c r="AB342" s="1">
        <f t="shared" si="16"/>
        <v>167.32499999999999</v>
      </c>
      <c r="AC342">
        <v>165.1</v>
      </c>
      <c r="AD342">
        <v>169.9</v>
      </c>
      <c r="AE342">
        <v>171.4</v>
      </c>
      <c r="AF342">
        <f t="shared" si="17"/>
        <v>172</v>
      </c>
      <c r="AG342">
        <v>165.4</v>
      </c>
      <c r="AH342">
        <v>173.1</v>
      </c>
      <c r="AI342">
        <f t="shared" si="18"/>
        <v>169.25</v>
      </c>
    </row>
    <row r="343" spans="1:35" x14ac:dyDescent="0.25">
      <c r="A343" t="s">
        <v>31</v>
      </c>
      <c r="B343">
        <v>2022</v>
      </c>
      <c r="C343" t="s">
        <v>38</v>
      </c>
      <c r="D343">
        <v>160.30000000000001</v>
      </c>
      <c r="E343">
        <v>206.5</v>
      </c>
      <c r="F343">
        <v>169.2</v>
      </c>
      <c r="G343">
        <v>168.1</v>
      </c>
      <c r="H343">
        <v>192.4</v>
      </c>
      <c r="I343">
        <v>172.9</v>
      </c>
      <c r="J343">
        <v>186.7</v>
      </c>
      <c r="K343">
        <v>167.2</v>
      </c>
      <c r="L343">
        <v>120.9</v>
      </c>
      <c r="M343">
        <v>193.6</v>
      </c>
      <c r="N343">
        <v>168.8</v>
      </c>
      <c r="O343">
        <v>186.3</v>
      </c>
      <c r="P343">
        <v>176.3</v>
      </c>
      <c r="Q343" s="1">
        <f>AVERAGE(Table1[[#This Row],[Cereals and products]:[Food and beverages]])</f>
        <v>174.55384615384617</v>
      </c>
      <c r="R343">
        <v>195</v>
      </c>
      <c r="S343">
        <v>179.5</v>
      </c>
      <c r="T343">
        <v>172.7</v>
      </c>
      <c r="U343">
        <v>178.5</v>
      </c>
      <c r="V343" s="1">
        <f>AVERAGE(Table1[[#This Row],[Clothing]:[Clothing and footwear]])</f>
        <v>176.9</v>
      </c>
      <c r="W343">
        <v>169</v>
      </c>
      <c r="X343">
        <v>178.8</v>
      </c>
      <c r="Y343">
        <v>168.5</v>
      </c>
      <c r="Z343">
        <v>176.8</v>
      </c>
      <c r="AA343">
        <v>161.9</v>
      </c>
      <c r="AB343" s="1">
        <f t="shared" si="16"/>
        <v>169.54999999999998</v>
      </c>
      <c r="AC343">
        <v>166.9</v>
      </c>
      <c r="AD343">
        <v>172.3</v>
      </c>
      <c r="AE343">
        <v>171.2</v>
      </c>
      <c r="AF343">
        <f t="shared" si="17"/>
        <v>174</v>
      </c>
      <c r="AG343">
        <v>169.1</v>
      </c>
      <c r="AH343">
        <v>174.3</v>
      </c>
      <c r="AI343">
        <f t="shared" si="18"/>
        <v>171.7</v>
      </c>
    </row>
    <row r="344" spans="1:35" x14ac:dyDescent="0.25">
      <c r="A344" t="s">
        <v>28</v>
      </c>
      <c r="B344">
        <v>2022</v>
      </c>
      <c r="C344" t="s">
        <v>39</v>
      </c>
      <c r="D344">
        <v>162.9</v>
      </c>
      <c r="E344">
        <v>206.7</v>
      </c>
      <c r="F344">
        <v>169</v>
      </c>
      <c r="G344">
        <v>169.5</v>
      </c>
      <c r="H344">
        <v>194.1</v>
      </c>
      <c r="I344">
        <v>164.1</v>
      </c>
      <c r="J344">
        <v>176.9</v>
      </c>
      <c r="K344">
        <v>169</v>
      </c>
      <c r="L344">
        <v>120.8</v>
      </c>
      <c r="M344">
        <v>199.1</v>
      </c>
      <c r="N344">
        <v>175.4</v>
      </c>
      <c r="O344">
        <v>184.8</v>
      </c>
      <c r="P344">
        <v>175.5</v>
      </c>
      <c r="Q344" s="1">
        <f>AVERAGE(Table1[[#This Row],[Cereals and products]:[Food and beverages]])</f>
        <v>174.44615384615386</v>
      </c>
      <c r="R344">
        <v>194.5</v>
      </c>
      <c r="S344">
        <v>184.7</v>
      </c>
      <c r="T344">
        <v>183.3</v>
      </c>
      <c r="U344">
        <v>184.5</v>
      </c>
      <c r="V344" s="1">
        <f>AVERAGE(Table1[[#This Row],[Clothing]:[Clothing and footwear]])</f>
        <v>184.16666666666666</v>
      </c>
      <c r="X344">
        <v>179.7</v>
      </c>
      <c r="Y344">
        <v>173.6</v>
      </c>
      <c r="Z344">
        <v>180.2</v>
      </c>
      <c r="AA344">
        <v>166.9</v>
      </c>
      <c r="AB344" s="1">
        <f t="shared" si="16"/>
        <v>173.39999999999998</v>
      </c>
      <c r="AC344">
        <v>170</v>
      </c>
      <c r="AD344">
        <v>176.2</v>
      </c>
      <c r="AE344">
        <v>170.8</v>
      </c>
      <c r="AF344">
        <f t="shared" si="17"/>
        <v>175.5</v>
      </c>
      <c r="AG344">
        <v>173.1</v>
      </c>
      <c r="AH344">
        <v>176.4</v>
      </c>
      <c r="AI344">
        <f t="shared" si="18"/>
        <v>174.75</v>
      </c>
    </row>
    <row r="345" spans="1:35" x14ac:dyDescent="0.25">
      <c r="A345" t="s">
        <v>30</v>
      </c>
      <c r="B345">
        <v>2022</v>
      </c>
      <c r="C345" t="s">
        <v>39</v>
      </c>
      <c r="D345">
        <v>164.9</v>
      </c>
      <c r="E345">
        <v>213.7</v>
      </c>
      <c r="F345">
        <v>170.9</v>
      </c>
      <c r="G345">
        <v>170.1</v>
      </c>
      <c r="H345">
        <v>179.3</v>
      </c>
      <c r="I345">
        <v>167.5</v>
      </c>
      <c r="J345">
        <v>220.8</v>
      </c>
      <c r="K345">
        <v>169.2</v>
      </c>
      <c r="L345">
        <v>123.1</v>
      </c>
      <c r="M345">
        <v>193.6</v>
      </c>
      <c r="N345">
        <v>161.1</v>
      </c>
      <c r="O345">
        <v>190.4</v>
      </c>
      <c r="P345">
        <v>181.8</v>
      </c>
      <c r="Q345" s="1">
        <f>AVERAGE(Table1[[#This Row],[Cereals and products]:[Food and beverages]])</f>
        <v>177.41538461538462</v>
      </c>
      <c r="R345">
        <v>199.7</v>
      </c>
      <c r="S345">
        <v>175</v>
      </c>
      <c r="T345">
        <v>161.69999999999999</v>
      </c>
      <c r="U345">
        <v>173</v>
      </c>
      <c r="V345" s="1">
        <f>AVERAGE(Table1[[#This Row],[Clothing]:[Clothing and footwear]])</f>
        <v>169.9</v>
      </c>
      <c r="W345">
        <v>169.5</v>
      </c>
      <c r="X345">
        <v>179.2</v>
      </c>
      <c r="Y345">
        <v>165</v>
      </c>
      <c r="Z345">
        <v>173.8</v>
      </c>
      <c r="AA345">
        <v>158.19999999999999</v>
      </c>
      <c r="AB345" s="1">
        <f t="shared" si="16"/>
        <v>167.97500000000002</v>
      </c>
      <c r="AC345">
        <v>165.8</v>
      </c>
      <c r="AD345">
        <v>170.9</v>
      </c>
      <c r="AE345">
        <v>171.1</v>
      </c>
      <c r="AF345">
        <f t="shared" si="17"/>
        <v>172.45</v>
      </c>
      <c r="AG345">
        <v>166.1</v>
      </c>
      <c r="AH345">
        <v>174.1</v>
      </c>
      <c r="AI345">
        <f t="shared" si="18"/>
        <v>170.1</v>
      </c>
    </row>
    <row r="346" spans="1:35" x14ac:dyDescent="0.25">
      <c r="A346" t="s">
        <v>31</v>
      </c>
      <c r="B346">
        <v>2022</v>
      </c>
      <c r="C346" t="s">
        <v>39</v>
      </c>
      <c r="D346">
        <v>163.5</v>
      </c>
      <c r="E346">
        <v>209.2</v>
      </c>
      <c r="F346">
        <v>169.7</v>
      </c>
      <c r="G346">
        <v>169.7</v>
      </c>
      <c r="H346">
        <v>188.7</v>
      </c>
      <c r="I346">
        <v>165.7</v>
      </c>
      <c r="J346">
        <v>191.8</v>
      </c>
      <c r="K346">
        <v>169.1</v>
      </c>
      <c r="L346">
        <v>121.6</v>
      </c>
      <c r="M346">
        <v>197.3</v>
      </c>
      <c r="N346">
        <v>169.4</v>
      </c>
      <c r="O346">
        <v>187.4</v>
      </c>
      <c r="P346">
        <v>177.8</v>
      </c>
      <c r="Q346" s="1">
        <f>AVERAGE(Table1[[#This Row],[Cereals and products]:[Food and beverages]])</f>
        <v>175.45384615384617</v>
      </c>
      <c r="R346">
        <v>195.9</v>
      </c>
      <c r="S346">
        <v>180.9</v>
      </c>
      <c r="T346">
        <v>174.3</v>
      </c>
      <c r="U346">
        <v>179.9</v>
      </c>
      <c r="V346" s="1">
        <f>AVERAGE(Table1[[#This Row],[Clothing]:[Clothing and footwear]])</f>
        <v>178.36666666666667</v>
      </c>
      <c r="W346">
        <v>169.5</v>
      </c>
      <c r="X346">
        <v>179.5</v>
      </c>
      <c r="Y346">
        <v>169.5</v>
      </c>
      <c r="Z346">
        <v>177.8</v>
      </c>
      <c r="AA346">
        <v>162.30000000000001</v>
      </c>
      <c r="AB346" s="1">
        <f t="shared" si="16"/>
        <v>170.2</v>
      </c>
      <c r="AC346">
        <v>167.6</v>
      </c>
      <c r="AD346">
        <v>173.1</v>
      </c>
      <c r="AE346">
        <v>170.9</v>
      </c>
      <c r="AF346">
        <f t="shared" si="17"/>
        <v>174.35000000000002</v>
      </c>
      <c r="AG346">
        <v>169.7</v>
      </c>
      <c r="AH346">
        <v>175.3</v>
      </c>
      <c r="AI346">
        <f t="shared" si="18"/>
        <v>172.5</v>
      </c>
    </row>
    <row r="347" spans="1:35" x14ac:dyDescent="0.25">
      <c r="A347" t="s">
        <v>28</v>
      </c>
      <c r="B347">
        <v>2022</v>
      </c>
      <c r="C347" t="s">
        <v>40</v>
      </c>
      <c r="D347">
        <v>164.7</v>
      </c>
      <c r="E347">
        <v>208.8</v>
      </c>
      <c r="F347">
        <v>170.3</v>
      </c>
      <c r="G347">
        <v>170.9</v>
      </c>
      <c r="H347">
        <v>191.6</v>
      </c>
      <c r="I347">
        <v>162.19999999999999</v>
      </c>
      <c r="J347">
        <v>184.8</v>
      </c>
      <c r="K347">
        <v>169.7</v>
      </c>
      <c r="L347">
        <v>121.1</v>
      </c>
      <c r="M347">
        <v>201.6</v>
      </c>
      <c r="N347">
        <v>175.8</v>
      </c>
      <c r="O347">
        <v>185.6</v>
      </c>
      <c r="P347">
        <v>177.4</v>
      </c>
      <c r="Q347" s="1">
        <f>AVERAGE(Table1[[#This Row],[Cereals and products]:[Food and beverages]])</f>
        <v>175.73076923076923</v>
      </c>
      <c r="R347">
        <v>194.9</v>
      </c>
      <c r="S347">
        <v>186.1</v>
      </c>
      <c r="T347">
        <v>184.4</v>
      </c>
      <c r="U347">
        <v>185.9</v>
      </c>
      <c r="V347" s="1">
        <f>AVERAGE(Table1[[#This Row],[Clothing]:[Clothing and footwear]])</f>
        <v>185.46666666666667</v>
      </c>
      <c r="X347">
        <v>180.8</v>
      </c>
      <c r="Y347">
        <v>174.4</v>
      </c>
      <c r="Z347">
        <v>181.2</v>
      </c>
      <c r="AA347">
        <v>167.4</v>
      </c>
      <c r="AB347" s="1">
        <f t="shared" si="16"/>
        <v>174.20000000000002</v>
      </c>
      <c r="AC347">
        <v>170.6</v>
      </c>
      <c r="AD347">
        <v>176.5</v>
      </c>
      <c r="AE347">
        <v>172</v>
      </c>
      <c r="AF347">
        <f t="shared" si="17"/>
        <v>176.6</v>
      </c>
      <c r="AG347">
        <v>173.9</v>
      </c>
      <c r="AH347">
        <v>177.9</v>
      </c>
      <c r="AI347">
        <f t="shared" si="18"/>
        <v>175.9</v>
      </c>
    </row>
    <row r="348" spans="1:35" x14ac:dyDescent="0.25">
      <c r="A348" t="s">
        <v>30</v>
      </c>
      <c r="B348">
        <v>2022</v>
      </c>
      <c r="C348" t="s">
        <v>40</v>
      </c>
      <c r="D348">
        <v>166.4</v>
      </c>
      <c r="E348">
        <v>214.9</v>
      </c>
      <c r="F348">
        <v>171.9</v>
      </c>
      <c r="G348">
        <v>171</v>
      </c>
      <c r="H348">
        <v>177.7</v>
      </c>
      <c r="I348">
        <v>165.7</v>
      </c>
      <c r="J348">
        <v>228.6</v>
      </c>
      <c r="K348">
        <v>169.9</v>
      </c>
      <c r="L348">
        <v>123.4</v>
      </c>
      <c r="M348">
        <v>196.4</v>
      </c>
      <c r="N348">
        <v>161.6</v>
      </c>
      <c r="O348">
        <v>191.5</v>
      </c>
      <c r="P348">
        <v>183.3</v>
      </c>
      <c r="Q348" s="1">
        <f>AVERAGE(Table1[[#This Row],[Cereals and products]:[Food and beverages]])</f>
        <v>178.63846153846154</v>
      </c>
      <c r="R348">
        <v>200.1</v>
      </c>
      <c r="S348">
        <v>175.5</v>
      </c>
      <c r="T348">
        <v>162.6</v>
      </c>
      <c r="U348">
        <v>173.6</v>
      </c>
      <c r="V348" s="1">
        <f>AVERAGE(Table1[[#This Row],[Clothing]:[Clothing and footwear]])</f>
        <v>170.56666666666669</v>
      </c>
      <c r="W348">
        <v>171.2</v>
      </c>
      <c r="X348">
        <v>180</v>
      </c>
      <c r="Y348">
        <v>166</v>
      </c>
      <c r="Z348">
        <v>174.7</v>
      </c>
      <c r="AA348">
        <v>158.80000000000001</v>
      </c>
      <c r="AB348" s="1">
        <f t="shared" si="16"/>
        <v>169</v>
      </c>
      <c r="AC348">
        <v>166.3</v>
      </c>
      <c r="AD348">
        <v>171.2</v>
      </c>
      <c r="AE348">
        <v>172.3</v>
      </c>
      <c r="AF348">
        <f t="shared" si="17"/>
        <v>173.5</v>
      </c>
      <c r="AG348">
        <v>166.8</v>
      </c>
      <c r="AH348">
        <v>175.3</v>
      </c>
      <c r="AI348">
        <f t="shared" si="18"/>
        <v>171.05</v>
      </c>
    </row>
    <row r="349" spans="1:35" x14ac:dyDescent="0.25">
      <c r="A349" t="s">
        <v>31</v>
      </c>
      <c r="B349">
        <v>2022</v>
      </c>
      <c r="C349" t="s">
        <v>40</v>
      </c>
      <c r="D349">
        <v>165.2</v>
      </c>
      <c r="E349">
        <v>210.9</v>
      </c>
      <c r="F349">
        <v>170.9</v>
      </c>
      <c r="G349">
        <v>170.9</v>
      </c>
      <c r="H349">
        <v>186.5</v>
      </c>
      <c r="I349">
        <v>163.80000000000001</v>
      </c>
      <c r="J349">
        <v>199.7</v>
      </c>
      <c r="K349">
        <v>169.8</v>
      </c>
      <c r="L349">
        <v>121.9</v>
      </c>
      <c r="M349">
        <v>199.9</v>
      </c>
      <c r="N349">
        <v>169.9</v>
      </c>
      <c r="O349">
        <v>188.3</v>
      </c>
      <c r="P349">
        <v>179.6</v>
      </c>
      <c r="Q349" s="1">
        <f>AVERAGE(Table1[[#This Row],[Cereals and products]:[Food and beverages]])</f>
        <v>176.71538461538464</v>
      </c>
      <c r="R349">
        <v>196.3</v>
      </c>
      <c r="S349">
        <v>181.9</v>
      </c>
      <c r="T349">
        <v>175.3</v>
      </c>
      <c r="U349">
        <v>181</v>
      </c>
      <c r="V349" s="1">
        <f>AVERAGE(Table1[[#This Row],[Clothing]:[Clothing and footwear]])</f>
        <v>179.4</v>
      </c>
      <c r="W349">
        <v>171.2</v>
      </c>
      <c r="X349">
        <v>180.5</v>
      </c>
      <c r="Y349">
        <v>170.4</v>
      </c>
      <c r="Z349">
        <v>178.7</v>
      </c>
      <c r="AA349">
        <v>162.9</v>
      </c>
      <c r="AB349" s="1">
        <f t="shared" si="16"/>
        <v>171.25</v>
      </c>
      <c r="AC349">
        <v>168.2</v>
      </c>
      <c r="AD349">
        <v>173.4</v>
      </c>
      <c r="AE349">
        <v>172.1</v>
      </c>
      <c r="AF349">
        <f t="shared" si="17"/>
        <v>175.39999999999998</v>
      </c>
      <c r="AG349">
        <v>170.5</v>
      </c>
      <c r="AH349">
        <v>176.7</v>
      </c>
      <c r="AI349">
        <f t="shared" si="18"/>
        <v>173.6</v>
      </c>
    </row>
    <row r="350" spans="1:35" x14ac:dyDescent="0.25">
      <c r="A350" t="s">
        <v>28</v>
      </c>
      <c r="B350">
        <v>2022</v>
      </c>
      <c r="C350" t="s">
        <v>42</v>
      </c>
      <c r="D350">
        <v>166.9</v>
      </c>
      <c r="E350">
        <v>207.2</v>
      </c>
      <c r="F350">
        <v>180.2</v>
      </c>
      <c r="G350">
        <v>172.3</v>
      </c>
      <c r="H350">
        <v>194</v>
      </c>
      <c r="I350">
        <v>159.1</v>
      </c>
      <c r="J350">
        <v>171.6</v>
      </c>
      <c r="K350">
        <v>170.2</v>
      </c>
      <c r="L350">
        <v>121.5</v>
      </c>
      <c r="M350">
        <v>204.8</v>
      </c>
      <c r="N350">
        <v>176.4</v>
      </c>
      <c r="O350">
        <v>186.9</v>
      </c>
      <c r="P350">
        <v>176.6</v>
      </c>
      <c r="Q350" s="1">
        <f>AVERAGE(Table1[[#This Row],[Cereals and products]:[Food and beverages]])</f>
        <v>175.97692307692307</v>
      </c>
      <c r="R350">
        <v>195.5</v>
      </c>
      <c r="S350">
        <v>187.2</v>
      </c>
      <c r="T350">
        <v>185.2</v>
      </c>
      <c r="U350">
        <v>186.9</v>
      </c>
      <c r="V350" s="1">
        <f>AVERAGE(Table1[[#This Row],[Clothing]:[Clothing and footwear]])</f>
        <v>186.43333333333331</v>
      </c>
      <c r="X350">
        <v>181.9</v>
      </c>
      <c r="Y350">
        <v>175.5</v>
      </c>
      <c r="Z350">
        <v>182.3</v>
      </c>
      <c r="AA350">
        <v>167.5</v>
      </c>
      <c r="AB350" s="1">
        <f t="shared" si="16"/>
        <v>174.96666666666667</v>
      </c>
      <c r="AC350">
        <v>170.8</v>
      </c>
      <c r="AD350">
        <v>176.9</v>
      </c>
      <c r="AE350">
        <v>173.4</v>
      </c>
      <c r="AF350">
        <f t="shared" si="17"/>
        <v>177.85000000000002</v>
      </c>
      <c r="AG350">
        <v>174.6</v>
      </c>
      <c r="AH350">
        <v>177.8</v>
      </c>
      <c r="AI350">
        <f t="shared" si="18"/>
        <v>176.2</v>
      </c>
    </row>
    <row r="351" spans="1:35" x14ac:dyDescent="0.25">
      <c r="A351" t="s">
        <v>30</v>
      </c>
      <c r="B351">
        <v>2022</v>
      </c>
      <c r="C351" t="s">
        <v>42</v>
      </c>
      <c r="D351">
        <v>168.4</v>
      </c>
      <c r="E351">
        <v>213.4</v>
      </c>
      <c r="F351">
        <v>183.2</v>
      </c>
      <c r="G351">
        <v>172.3</v>
      </c>
      <c r="H351">
        <v>180</v>
      </c>
      <c r="I351">
        <v>162.6</v>
      </c>
      <c r="J351">
        <v>205.5</v>
      </c>
      <c r="K351">
        <v>171</v>
      </c>
      <c r="L351">
        <v>123.4</v>
      </c>
      <c r="M351">
        <v>198.8</v>
      </c>
      <c r="N351">
        <v>162.1</v>
      </c>
      <c r="O351">
        <v>192.4</v>
      </c>
      <c r="P351">
        <v>181.3</v>
      </c>
      <c r="Q351" s="1">
        <f>AVERAGE(Table1[[#This Row],[Cereals and products]:[Food and beverages]])</f>
        <v>178.03076923076924</v>
      </c>
      <c r="R351">
        <v>200.6</v>
      </c>
      <c r="S351">
        <v>176.7</v>
      </c>
      <c r="T351">
        <v>163.5</v>
      </c>
      <c r="U351">
        <v>174.7</v>
      </c>
      <c r="V351" s="1">
        <f>AVERAGE(Table1[[#This Row],[Clothing]:[Clothing and footwear]])</f>
        <v>171.63333333333333</v>
      </c>
      <c r="W351">
        <v>171.8</v>
      </c>
      <c r="X351">
        <v>180.3</v>
      </c>
      <c r="Y351">
        <v>166.9</v>
      </c>
      <c r="Z351">
        <v>175.8</v>
      </c>
      <c r="AA351">
        <v>158.9</v>
      </c>
      <c r="AB351" s="1">
        <f t="shared" si="16"/>
        <v>169.47499999999999</v>
      </c>
      <c r="AC351">
        <v>166.7</v>
      </c>
      <c r="AD351">
        <v>171.5</v>
      </c>
      <c r="AE351">
        <v>173.8</v>
      </c>
      <c r="AF351">
        <f t="shared" si="17"/>
        <v>174.8</v>
      </c>
      <c r="AG351">
        <v>167.4</v>
      </c>
      <c r="AH351">
        <v>174.1</v>
      </c>
      <c r="AI351">
        <f t="shared" si="18"/>
        <v>170.75</v>
      </c>
    </row>
    <row r="352" spans="1:35" x14ac:dyDescent="0.25">
      <c r="A352" t="s">
        <v>31</v>
      </c>
      <c r="B352">
        <v>2022</v>
      </c>
      <c r="C352" t="s">
        <v>42</v>
      </c>
      <c r="D352">
        <v>167.4</v>
      </c>
      <c r="E352">
        <v>209.4</v>
      </c>
      <c r="F352">
        <v>181.4</v>
      </c>
      <c r="G352">
        <v>172.3</v>
      </c>
      <c r="H352">
        <v>188.9</v>
      </c>
      <c r="I352">
        <v>160.69999999999999</v>
      </c>
      <c r="J352">
        <v>183.1</v>
      </c>
      <c r="K352">
        <v>170.5</v>
      </c>
      <c r="L352">
        <v>122.1</v>
      </c>
      <c r="M352">
        <v>202.8</v>
      </c>
      <c r="N352">
        <v>170.4</v>
      </c>
      <c r="O352">
        <v>189.5</v>
      </c>
      <c r="P352">
        <v>178.3</v>
      </c>
      <c r="Q352" s="1">
        <f>AVERAGE(Table1[[#This Row],[Cereals and products]:[Food and beverages]])</f>
        <v>176.67692307692309</v>
      </c>
      <c r="R352">
        <v>196.9</v>
      </c>
      <c r="S352">
        <v>183.1</v>
      </c>
      <c r="T352">
        <v>176.2</v>
      </c>
      <c r="U352">
        <v>182.1</v>
      </c>
      <c r="V352" s="1">
        <f>AVERAGE(Table1[[#This Row],[Clothing]:[Clothing and footwear]])</f>
        <v>180.46666666666667</v>
      </c>
      <c r="W352">
        <v>171.8</v>
      </c>
      <c r="X352">
        <v>181.3</v>
      </c>
      <c r="Y352">
        <v>171.4</v>
      </c>
      <c r="Z352">
        <v>179.8</v>
      </c>
      <c r="AA352">
        <v>163</v>
      </c>
      <c r="AB352" s="1">
        <f t="shared" si="16"/>
        <v>171.875</v>
      </c>
      <c r="AC352">
        <v>168.5</v>
      </c>
      <c r="AD352">
        <v>173.7</v>
      </c>
      <c r="AE352">
        <v>173.6</v>
      </c>
      <c r="AF352">
        <f t="shared" si="17"/>
        <v>176.7</v>
      </c>
      <c r="AG352">
        <v>171.1</v>
      </c>
      <c r="AH352">
        <v>176.5</v>
      </c>
      <c r="AI352">
        <f t="shared" si="18"/>
        <v>173.8</v>
      </c>
    </row>
    <row r="353" spans="1:35" x14ac:dyDescent="0.25">
      <c r="A353" t="s">
        <v>28</v>
      </c>
      <c r="B353">
        <v>2022</v>
      </c>
      <c r="C353" t="s">
        <v>43</v>
      </c>
      <c r="D353">
        <v>168.8</v>
      </c>
      <c r="E353">
        <v>206.9</v>
      </c>
      <c r="F353">
        <v>189.1</v>
      </c>
      <c r="G353">
        <v>173.4</v>
      </c>
      <c r="H353">
        <v>193.9</v>
      </c>
      <c r="I353">
        <v>156.69999999999999</v>
      </c>
      <c r="J353">
        <v>150.19999999999999</v>
      </c>
      <c r="K353">
        <v>170.5</v>
      </c>
      <c r="L353">
        <v>121.2</v>
      </c>
      <c r="M353">
        <v>207.5</v>
      </c>
      <c r="N353">
        <v>176.8</v>
      </c>
      <c r="O353">
        <v>187.7</v>
      </c>
      <c r="P353">
        <v>174.4</v>
      </c>
      <c r="Q353" s="1">
        <f>AVERAGE(Table1[[#This Row],[Cereals and products]:[Food and beverages]])</f>
        <v>175.16153846153844</v>
      </c>
      <c r="R353">
        <v>195.9</v>
      </c>
      <c r="S353">
        <v>188.1</v>
      </c>
      <c r="T353">
        <v>185.9</v>
      </c>
      <c r="U353">
        <v>187.8</v>
      </c>
      <c r="V353" s="1">
        <f>AVERAGE(Table1[[#This Row],[Clothing]:[Clothing and footwear]])</f>
        <v>187.26666666666665</v>
      </c>
      <c r="X353">
        <v>182.8</v>
      </c>
      <c r="Y353">
        <v>176.4</v>
      </c>
      <c r="Z353">
        <v>183.5</v>
      </c>
      <c r="AA353">
        <v>167.8</v>
      </c>
      <c r="AB353" s="1">
        <f t="shared" si="16"/>
        <v>175.66666666666666</v>
      </c>
      <c r="AC353">
        <v>171.2</v>
      </c>
      <c r="AD353">
        <v>177.3</v>
      </c>
      <c r="AE353">
        <v>175.7</v>
      </c>
      <c r="AF353">
        <f t="shared" si="17"/>
        <v>179.6</v>
      </c>
      <c r="AG353">
        <v>175.5</v>
      </c>
      <c r="AH353">
        <v>177.1</v>
      </c>
      <c r="AI353">
        <f t="shared" si="18"/>
        <v>176.3</v>
      </c>
    </row>
    <row r="354" spans="1:35" x14ac:dyDescent="0.25">
      <c r="A354" t="s">
        <v>30</v>
      </c>
      <c r="B354">
        <v>2022</v>
      </c>
      <c r="C354" t="s">
        <v>43</v>
      </c>
      <c r="D354">
        <v>170.2</v>
      </c>
      <c r="E354">
        <v>212.9</v>
      </c>
      <c r="F354">
        <v>191.9</v>
      </c>
      <c r="G354">
        <v>173.9</v>
      </c>
      <c r="H354">
        <v>179.1</v>
      </c>
      <c r="I354">
        <v>159.5</v>
      </c>
      <c r="J354">
        <v>178.7</v>
      </c>
      <c r="K354">
        <v>171.3</v>
      </c>
      <c r="L354">
        <v>123.1</v>
      </c>
      <c r="M354">
        <v>200.5</v>
      </c>
      <c r="N354">
        <v>162.80000000000001</v>
      </c>
      <c r="O354">
        <v>193.3</v>
      </c>
      <c r="P354">
        <v>178.6</v>
      </c>
      <c r="Q354" s="1">
        <f>AVERAGE(Table1[[#This Row],[Cereals and products]:[Food and beverages]])</f>
        <v>176.59999999999997</v>
      </c>
      <c r="R354">
        <v>201.1</v>
      </c>
      <c r="S354">
        <v>177.7</v>
      </c>
      <c r="T354">
        <v>164.5</v>
      </c>
      <c r="U354">
        <v>175.7</v>
      </c>
      <c r="V354" s="1">
        <f>AVERAGE(Table1[[#This Row],[Clothing]:[Clothing and footwear]])</f>
        <v>172.63333333333333</v>
      </c>
      <c r="W354">
        <v>170.7</v>
      </c>
      <c r="X354">
        <v>180.6</v>
      </c>
      <c r="Y354">
        <v>167.3</v>
      </c>
      <c r="Z354">
        <v>177.2</v>
      </c>
      <c r="AA354">
        <v>159.4</v>
      </c>
      <c r="AB354" s="1">
        <f t="shared" si="16"/>
        <v>169.49999999999997</v>
      </c>
      <c r="AC354">
        <v>167.1</v>
      </c>
      <c r="AD354">
        <v>171.8</v>
      </c>
      <c r="AE354">
        <v>176</v>
      </c>
      <c r="AF354">
        <f t="shared" si="17"/>
        <v>176.6</v>
      </c>
      <c r="AG354">
        <v>168.2</v>
      </c>
      <c r="AH354">
        <v>174.1</v>
      </c>
      <c r="AI354">
        <f t="shared" si="18"/>
        <v>171.14999999999998</v>
      </c>
    </row>
    <row r="355" spans="1:35" x14ac:dyDescent="0.25">
      <c r="A355" t="s">
        <v>31</v>
      </c>
      <c r="B355">
        <v>2022</v>
      </c>
      <c r="C355" t="s">
        <v>43</v>
      </c>
      <c r="D355">
        <v>169.2</v>
      </c>
      <c r="E355">
        <v>209</v>
      </c>
      <c r="F355">
        <v>190.2</v>
      </c>
      <c r="G355">
        <v>173.6</v>
      </c>
      <c r="H355">
        <v>188.5</v>
      </c>
      <c r="I355">
        <v>158</v>
      </c>
      <c r="J355">
        <v>159.9</v>
      </c>
      <c r="K355">
        <v>170.8</v>
      </c>
      <c r="L355">
        <v>121.8</v>
      </c>
      <c r="M355">
        <v>205.2</v>
      </c>
      <c r="N355">
        <v>171</v>
      </c>
      <c r="O355">
        <v>190.3</v>
      </c>
      <c r="P355">
        <v>175.9</v>
      </c>
      <c r="Q355" s="1">
        <f>AVERAGE(Table1[[#This Row],[Cereals and products]:[Food and beverages]])</f>
        <v>175.64615384615385</v>
      </c>
      <c r="R355">
        <v>197.3</v>
      </c>
      <c r="S355">
        <v>184</v>
      </c>
      <c r="T355">
        <v>177</v>
      </c>
      <c r="U355">
        <v>183</v>
      </c>
      <c r="V355" s="1">
        <f>AVERAGE(Table1[[#This Row],[Clothing]:[Clothing and footwear]])</f>
        <v>181.33333333333334</v>
      </c>
      <c r="W355">
        <v>170.7</v>
      </c>
      <c r="X355">
        <v>182</v>
      </c>
      <c r="Y355">
        <v>172.1</v>
      </c>
      <c r="Z355">
        <v>181.1</v>
      </c>
      <c r="AA355">
        <v>163.4</v>
      </c>
      <c r="AB355" s="1">
        <f t="shared" si="16"/>
        <v>172.04999999999998</v>
      </c>
      <c r="AC355">
        <v>168.9</v>
      </c>
      <c r="AD355">
        <v>174.1</v>
      </c>
      <c r="AE355">
        <v>175.8</v>
      </c>
      <c r="AF355">
        <f t="shared" si="17"/>
        <v>178.45</v>
      </c>
      <c r="AG355">
        <v>172</v>
      </c>
      <c r="AH355">
        <v>175.7</v>
      </c>
      <c r="AI355">
        <f t="shared" si="18"/>
        <v>173.85</v>
      </c>
    </row>
    <row r="356" spans="1:35" x14ac:dyDescent="0.25">
      <c r="A356" t="s">
        <v>28</v>
      </c>
      <c r="B356">
        <v>2023</v>
      </c>
      <c r="C356" t="s">
        <v>29</v>
      </c>
      <c r="D356">
        <v>174</v>
      </c>
      <c r="E356">
        <v>208.3</v>
      </c>
      <c r="F356">
        <v>192.9</v>
      </c>
      <c r="G356">
        <v>174.3</v>
      </c>
      <c r="H356">
        <v>192.6</v>
      </c>
      <c r="I356">
        <v>156.30000000000001</v>
      </c>
      <c r="J356">
        <v>142.9</v>
      </c>
      <c r="K356">
        <v>170.7</v>
      </c>
      <c r="L356">
        <v>120.3</v>
      </c>
      <c r="M356">
        <v>210.5</v>
      </c>
      <c r="N356">
        <v>176.9</v>
      </c>
      <c r="O356">
        <v>188.5</v>
      </c>
      <c r="P356">
        <v>175</v>
      </c>
      <c r="Q356" s="1">
        <f>AVERAGE(Table1[[#This Row],[Cereals and products]:[Food and beverages]])</f>
        <v>175.63076923076926</v>
      </c>
      <c r="R356">
        <v>196.9</v>
      </c>
      <c r="S356">
        <v>189</v>
      </c>
      <c r="T356">
        <v>186.3</v>
      </c>
      <c r="U356">
        <v>188.6</v>
      </c>
      <c r="V356" s="1">
        <f>AVERAGE(Table1[[#This Row],[Clothing]:[Clothing and footwear]])</f>
        <v>187.96666666666667</v>
      </c>
      <c r="X356">
        <v>183.2</v>
      </c>
      <c r="Y356">
        <v>177.2</v>
      </c>
      <c r="Z356">
        <v>184.7</v>
      </c>
      <c r="AA356">
        <v>168.2</v>
      </c>
      <c r="AB356" s="1">
        <f t="shared" si="16"/>
        <v>176.19999999999996</v>
      </c>
      <c r="AC356">
        <v>171.8</v>
      </c>
      <c r="AD356">
        <v>177.8</v>
      </c>
      <c r="AE356">
        <v>178.4</v>
      </c>
      <c r="AF356">
        <f t="shared" si="17"/>
        <v>181.55</v>
      </c>
      <c r="AG356">
        <v>176.5</v>
      </c>
      <c r="AH356">
        <v>177.8</v>
      </c>
      <c r="AI356">
        <f t="shared" si="18"/>
        <v>177.15</v>
      </c>
    </row>
    <row r="357" spans="1:35" x14ac:dyDescent="0.25">
      <c r="A357" t="s">
        <v>30</v>
      </c>
      <c r="B357">
        <v>2023</v>
      </c>
      <c r="C357" t="s">
        <v>29</v>
      </c>
      <c r="D357">
        <v>173.3</v>
      </c>
      <c r="E357">
        <v>215.2</v>
      </c>
      <c r="F357">
        <v>197</v>
      </c>
      <c r="G357">
        <v>175.2</v>
      </c>
      <c r="H357">
        <v>178</v>
      </c>
      <c r="I357">
        <v>160.5</v>
      </c>
      <c r="J357">
        <v>175.3</v>
      </c>
      <c r="K357">
        <v>171.2</v>
      </c>
      <c r="L357">
        <v>122.7</v>
      </c>
      <c r="M357">
        <v>204.3</v>
      </c>
      <c r="N357">
        <v>163.69999999999999</v>
      </c>
      <c r="O357">
        <v>194.3</v>
      </c>
      <c r="P357">
        <v>179.5</v>
      </c>
      <c r="Q357" s="1">
        <f>AVERAGE(Table1[[#This Row],[Cereals and products]:[Food and beverages]])</f>
        <v>177.70769230769233</v>
      </c>
      <c r="R357">
        <v>201.6</v>
      </c>
      <c r="S357">
        <v>178.7</v>
      </c>
      <c r="T357">
        <v>165.3</v>
      </c>
      <c r="U357">
        <v>176.6</v>
      </c>
      <c r="V357" s="1">
        <f>AVERAGE(Table1[[#This Row],[Clothing]:[Clothing and footwear]])</f>
        <v>173.53333333333333</v>
      </c>
      <c r="W357">
        <v>172.1</v>
      </c>
      <c r="X357">
        <v>180.1</v>
      </c>
      <c r="Y357">
        <v>168</v>
      </c>
      <c r="Z357">
        <v>178.5</v>
      </c>
      <c r="AA357">
        <v>159.5</v>
      </c>
      <c r="AB357" s="1">
        <f t="shared" si="16"/>
        <v>169.92500000000001</v>
      </c>
      <c r="AC357">
        <v>167.8</v>
      </c>
      <c r="AD357">
        <v>171.8</v>
      </c>
      <c r="AE357">
        <v>178.8</v>
      </c>
      <c r="AF357">
        <f t="shared" si="17"/>
        <v>178.65</v>
      </c>
      <c r="AG357">
        <v>168.9</v>
      </c>
      <c r="AH357">
        <v>174.9</v>
      </c>
      <c r="AI357">
        <f t="shared" si="18"/>
        <v>171.9</v>
      </c>
    </row>
    <row r="358" spans="1:35" x14ac:dyDescent="0.25">
      <c r="A358" t="s">
        <v>31</v>
      </c>
      <c r="B358">
        <v>2023</v>
      </c>
      <c r="C358" t="s">
        <v>29</v>
      </c>
      <c r="D358">
        <v>173.8</v>
      </c>
      <c r="E358">
        <v>210.7</v>
      </c>
      <c r="F358">
        <v>194.5</v>
      </c>
      <c r="G358">
        <v>174.6</v>
      </c>
      <c r="H358">
        <v>187.2</v>
      </c>
      <c r="I358">
        <v>158.30000000000001</v>
      </c>
      <c r="J358">
        <v>153.9</v>
      </c>
      <c r="K358">
        <v>170.9</v>
      </c>
      <c r="L358">
        <v>121.1</v>
      </c>
      <c r="M358">
        <v>208.4</v>
      </c>
      <c r="N358">
        <v>171.4</v>
      </c>
      <c r="O358">
        <v>191.2</v>
      </c>
      <c r="P358">
        <v>176.7</v>
      </c>
      <c r="Q358" s="1">
        <f>AVERAGE(Table1[[#This Row],[Cereals and products]:[Food and beverages]])</f>
        <v>176.36153846153846</v>
      </c>
      <c r="R358">
        <v>198.2</v>
      </c>
      <c r="S358">
        <v>184.9</v>
      </c>
      <c r="T358">
        <v>177.6</v>
      </c>
      <c r="U358">
        <v>183.8</v>
      </c>
      <c r="V358" s="1">
        <f>AVERAGE(Table1[[#This Row],[Clothing]:[Clothing and footwear]])</f>
        <v>182.1</v>
      </c>
      <c r="W358">
        <v>172.1</v>
      </c>
      <c r="X358">
        <v>182</v>
      </c>
      <c r="Y358">
        <v>172.9</v>
      </c>
      <c r="Z358">
        <v>182.3</v>
      </c>
      <c r="AA358">
        <v>163.6</v>
      </c>
      <c r="AB358" s="1">
        <f t="shared" si="16"/>
        <v>172.65</v>
      </c>
      <c r="AC358">
        <v>169.5</v>
      </c>
      <c r="AD358">
        <v>174.3</v>
      </c>
      <c r="AE358">
        <v>178.6</v>
      </c>
      <c r="AF358">
        <f t="shared" si="17"/>
        <v>180.45</v>
      </c>
      <c r="AG358">
        <v>172.8</v>
      </c>
      <c r="AH358">
        <v>176.5</v>
      </c>
      <c r="AI358">
        <f t="shared" si="18"/>
        <v>174.65</v>
      </c>
    </row>
    <row r="359" spans="1:35" x14ac:dyDescent="0.25">
      <c r="A359" t="s">
        <v>28</v>
      </c>
      <c r="B359">
        <v>2023</v>
      </c>
      <c r="C359" t="s">
        <v>32</v>
      </c>
      <c r="D359">
        <v>174.2</v>
      </c>
      <c r="E359">
        <v>205.2</v>
      </c>
      <c r="F359">
        <v>173.9</v>
      </c>
      <c r="G359">
        <v>177</v>
      </c>
      <c r="H359">
        <v>183.4</v>
      </c>
      <c r="I359">
        <v>167.2</v>
      </c>
      <c r="J359">
        <v>140.9</v>
      </c>
      <c r="K359">
        <v>170.4</v>
      </c>
      <c r="L359">
        <v>119.1</v>
      </c>
      <c r="M359">
        <v>212.1</v>
      </c>
      <c r="N359">
        <v>177.6</v>
      </c>
      <c r="O359">
        <v>189.9</v>
      </c>
      <c r="P359">
        <v>174.8</v>
      </c>
      <c r="Q359" s="1">
        <f>AVERAGE(Table1[[#This Row],[Cereals and products]:[Food and beverages]])</f>
        <v>174.28461538461536</v>
      </c>
      <c r="R359">
        <v>198.3</v>
      </c>
      <c r="S359">
        <v>190</v>
      </c>
      <c r="T359">
        <v>187</v>
      </c>
      <c r="U359">
        <v>189.6</v>
      </c>
      <c r="V359" s="1">
        <f>AVERAGE(Table1[[#This Row],[Clothing]:[Clothing and footwear]])</f>
        <v>188.86666666666667</v>
      </c>
      <c r="X359">
        <v>181.6</v>
      </c>
      <c r="Y359">
        <v>178.6</v>
      </c>
      <c r="Z359">
        <v>186.6</v>
      </c>
      <c r="AA359">
        <v>169</v>
      </c>
      <c r="AB359" s="1">
        <f t="shared" si="16"/>
        <v>176.4</v>
      </c>
      <c r="AC359">
        <v>172.8</v>
      </c>
      <c r="AD359">
        <v>178.5</v>
      </c>
      <c r="AE359">
        <v>180.7</v>
      </c>
      <c r="AF359">
        <f t="shared" si="17"/>
        <v>183.64999999999998</v>
      </c>
      <c r="AG359">
        <v>177.9</v>
      </c>
      <c r="AH359">
        <v>178</v>
      </c>
      <c r="AI359">
        <f t="shared" si="18"/>
        <v>177.95</v>
      </c>
    </row>
    <row r="360" spans="1:35" x14ac:dyDescent="0.25">
      <c r="A360" t="s">
        <v>30</v>
      </c>
      <c r="B360">
        <v>2023</v>
      </c>
      <c r="C360" t="s">
        <v>32</v>
      </c>
      <c r="D360">
        <v>174.7</v>
      </c>
      <c r="E360">
        <v>212.2</v>
      </c>
      <c r="F360">
        <v>177.2</v>
      </c>
      <c r="G360">
        <v>177.9</v>
      </c>
      <c r="H360">
        <v>172.2</v>
      </c>
      <c r="I360">
        <v>172.1</v>
      </c>
      <c r="J360">
        <v>175.8</v>
      </c>
      <c r="K360">
        <v>172.2</v>
      </c>
      <c r="L360">
        <v>121.9</v>
      </c>
      <c r="M360">
        <v>204.8</v>
      </c>
      <c r="N360">
        <v>164.9</v>
      </c>
      <c r="O360">
        <v>196.6</v>
      </c>
      <c r="P360">
        <v>180.7</v>
      </c>
      <c r="Q360" s="1">
        <f>AVERAGE(Table1[[#This Row],[Cereals and products]:[Food and beverages]])</f>
        <v>177.16923076923075</v>
      </c>
      <c r="R360">
        <v>202.7</v>
      </c>
      <c r="S360">
        <v>180.3</v>
      </c>
      <c r="T360">
        <v>167</v>
      </c>
      <c r="U360">
        <v>178.2</v>
      </c>
      <c r="V360" s="1">
        <f>AVERAGE(Table1[[#This Row],[Clothing]:[Clothing and footwear]])</f>
        <v>175.16666666666666</v>
      </c>
      <c r="W360">
        <v>173.5</v>
      </c>
      <c r="X360">
        <v>182.8</v>
      </c>
      <c r="Y360">
        <v>169.2</v>
      </c>
      <c r="Z360">
        <v>180.8</v>
      </c>
      <c r="AA360">
        <v>159.80000000000001</v>
      </c>
      <c r="AB360" s="1">
        <f t="shared" si="16"/>
        <v>171.32499999999999</v>
      </c>
      <c r="AC360">
        <v>168.4</v>
      </c>
      <c r="AD360">
        <v>172.5</v>
      </c>
      <c r="AE360">
        <v>181.4</v>
      </c>
      <c r="AF360">
        <f t="shared" si="17"/>
        <v>181.10000000000002</v>
      </c>
      <c r="AG360">
        <v>170</v>
      </c>
      <c r="AH360">
        <v>176.3</v>
      </c>
      <c r="AI360">
        <f t="shared" si="18"/>
        <v>173.15</v>
      </c>
    </row>
    <row r="361" spans="1:35" x14ac:dyDescent="0.25">
      <c r="A361" t="s">
        <v>31</v>
      </c>
      <c r="B361">
        <v>2023</v>
      </c>
      <c r="C361" t="s">
        <v>32</v>
      </c>
      <c r="D361">
        <v>174.4</v>
      </c>
      <c r="E361">
        <v>207.7</v>
      </c>
      <c r="F361">
        <v>175.2</v>
      </c>
      <c r="G361">
        <v>177.3</v>
      </c>
      <c r="H361">
        <v>179.3</v>
      </c>
      <c r="I361">
        <v>169.5</v>
      </c>
      <c r="J361">
        <v>152.69999999999999</v>
      </c>
      <c r="K361">
        <v>171</v>
      </c>
      <c r="L361">
        <v>120</v>
      </c>
      <c r="M361">
        <v>209.7</v>
      </c>
      <c r="N361">
        <v>172.3</v>
      </c>
      <c r="O361">
        <v>193</v>
      </c>
      <c r="P361">
        <v>177</v>
      </c>
      <c r="Q361" s="1">
        <f>AVERAGE(Table1[[#This Row],[Cereals and products]:[Food and beverages]])</f>
        <v>175.3153846153846</v>
      </c>
      <c r="R361">
        <v>199.5</v>
      </c>
      <c r="S361">
        <v>186.2</v>
      </c>
      <c r="T361">
        <v>178.7</v>
      </c>
      <c r="U361">
        <v>185.1</v>
      </c>
      <c r="V361" s="1">
        <f>AVERAGE(Table1[[#This Row],[Clothing]:[Clothing and footwear]])</f>
        <v>183.33333333333334</v>
      </c>
      <c r="W361">
        <v>173.5</v>
      </c>
      <c r="X361">
        <v>182.1</v>
      </c>
      <c r="Y361">
        <v>174.2</v>
      </c>
      <c r="Z361">
        <v>184.4</v>
      </c>
      <c r="AA361">
        <v>164.2</v>
      </c>
      <c r="AB361" s="1">
        <f t="shared" si="16"/>
        <v>173.5</v>
      </c>
      <c r="AC361">
        <v>170.3</v>
      </c>
      <c r="AD361">
        <v>175</v>
      </c>
      <c r="AE361">
        <v>181</v>
      </c>
      <c r="AF361">
        <f t="shared" si="17"/>
        <v>182.7</v>
      </c>
      <c r="AG361">
        <v>174.1</v>
      </c>
      <c r="AH361">
        <v>177.2</v>
      </c>
      <c r="AI361">
        <f t="shared" si="18"/>
        <v>175.64999999999998</v>
      </c>
    </row>
    <row r="362" spans="1:35" x14ac:dyDescent="0.25">
      <c r="A362" t="s">
        <v>28</v>
      </c>
      <c r="B362">
        <v>2023</v>
      </c>
      <c r="C362" t="s">
        <v>33</v>
      </c>
      <c r="D362">
        <v>174.3</v>
      </c>
      <c r="E362">
        <v>205.2</v>
      </c>
      <c r="F362">
        <v>173.9</v>
      </c>
      <c r="G362">
        <v>177</v>
      </c>
      <c r="H362">
        <v>183.3</v>
      </c>
      <c r="I362">
        <v>167.2</v>
      </c>
      <c r="J362">
        <v>140.9</v>
      </c>
      <c r="K362">
        <v>170.5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 s="1">
        <f>AVERAGE(Table1[[#This Row],[Cereals and products]:[Food and beverages]])</f>
        <v>174.2923076923077</v>
      </c>
      <c r="R362">
        <v>198.4</v>
      </c>
      <c r="S362">
        <v>190</v>
      </c>
      <c r="T362">
        <v>187</v>
      </c>
      <c r="U362">
        <v>189.6</v>
      </c>
      <c r="V362" s="1">
        <f>AVERAGE(Table1[[#This Row],[Clothing]:[Clothing and footwear]])</f>
        <v>188.86666666666667</v>
      </c>
      <c r="X362">
        <v>181.4</v>
      </c>
      <c r="Y362">
        <v>178.6</v>
      </c>
      <c r="Z362">
        <v>186.6</v>
      </c>
      <c r="AA362">
        <v>169</v>
      </c>
      <c r="AB362" s="1">
        <f t="shared" si="16"/>
        <v>176.33333333333334</v>
      </c>
      <c r="AC362">
        <v>172.8</v>
      </c>
      <c r="AD362">
        <v>178.5</v>
      </c>
      <c r="AE362">
        <v>180.7</v>
      </c>
      <c r="AF362">
        <f t="shared" si="17"/>
        <v>183.64999999999998</v>
      </c>
      <c r="AG362">
        <v>177.9</v>
      </c>
      <c r="AH362">
        <v>178</v>
      </c>
      <c r="AI362">
        <f t="shared" si="18"/>
        <v>177.95</v>
      </c>
    </row>
    <row r="363" spans="1:35" x14ac:dyDescent="0.25">
      <c r="A363" t="s">
        <v>30</v>
      </c>
      <c r="B363">
        <v>2023</v>
      </c>
      <c r="C363" t="s">
        <v>33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175.9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180.8</v>
      </c>
      <c r="Q363" s="1">
        <f>AVERAGE(Table1[[#This Row],[Cereals and products]:[Food and beverages]])</f>
        <v>177.1846153846154</v>
      </c>
      <c r="R363">
        <v>202.7</v>
      </c>
      <c r="S363">
        <v>180.2</v>
      </c>
      <c r="T363">
        <v>167</v>
      </c>
      <c r="U363">
        <v>178.2</v>
      </c>
      <c r="V363" s="1">
        <f>AVERAGE(Table1[[#This Row],[Clothing]:[Clothing and footwear]])</f>
        <v>175.13333333333333</v>
      </c>
      <c r="W363">
        <v>173.5</v>
      </c>
      <c r="X363">
        <v>182.6</v>
      </c>
      <c r="Y363">
        <v>169.2</v>
      </c>
      <c r="Z363">
        <v>180.8</v>
      </c>
      <c r="AA363">
        <v>159.80000000000001</v>
      </c>
      <c r="AB363" s="1">
        <f t="shared" si="16"/>
        <v>171.27499999999998</v>
      </c>
      <c r="AC363">
        <v>168.4</v>
      </c>
      <c r="AD363">
        <v>172.5</v>
      </c>
      <c r="AE363">
        <v>181.5</v>
      </c>
      <c r="AF363">
        <f t="shared" si="17"/>
        <v>181.15</v>
      </c>
      <c r="AG363">
        <v>170</v>
      </c>
      <c r="AH363">
        <v>176.3</v>
      </c>
      <c r="AI363">
        <f t="shared" si="18"/>
        <v>173.15</v>
      </c>
    </row>
    <row r="364" spans="1:35" x14ac:dyDescent="0.25">
      <c r="A364" t="s">
        <v>31</v>
      </c>
      <c r="B364">
        <v>2023</v>
      </c>
      <c r="C364" t="s">
        <v>33</v>
      </c>
      <c r="D364">
        <v>174.4</v>
      </c>
      <c r="E364">
        <v>207.7</v>
      </c>
      <c r="F364">
        <v>175.2</v>
      </c>
      <c r="G364">
        <v>177.3</v>
      </c>
      <c r="H364">
        <v>179.2</v>
      </c>
      <c r="I364">
        <v>169.5</v>
      </c>
      <c r="J364">
        <v>152.80000000000001</v>
      </c>
      <c r="K364">
        <v>171.1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 s="1">
        <f>AVERAGE(Table1[[#This Row],[Cereals and products]:[Food and beverages]])</f>
        <v>175.32307692307691</v>
      </c>
      <c r="R364">
        <v>199.5</v>
      </c>
      <c r="S364">
        <v>186.1</v>
      </c>
      <c r="T364">
        <v>178.7</v>
      </c>
      <c r="U364">
        <v>185.1</v>
      </c>
      <c r="V364" s="1">
        <f>AVERAGE(Table1[[#This Row],[Clothing]:[Clothing and footwear]])</f>
        <v>183.29999999999998</v>
      </c>
      <c r="W364">
        <v>173.5</v>
      </c>
      <c r="X364">
        <v>181.9</v>
      </c>
      <c r="Y364">
        <v>174.2</v>
      </c>
      <c r="Z364">
        <v>184.4</v>
      </c>
      <c r="AA364">
        <v>164.2</v>
      </c>
      <c r="AB364" s="1">
        <f t="shared" si="16"/>
        <v>173.45</v>
      </c>
      <c r="AC364">
        <v>170.3</v>
      </c>
      <c r="AD364">
        <v>175</v>
      </c>
      <c r="AE364">
        <v>181</v>
      </c>
      <c r="AF364">
        <f t="shared" si="17"/>
        <v>182.7</v>
      </c>
      <c r="AG364">
        <v>174.1</v>
      </c>
      <c r="AH364">
        <v>177.2</v>
      </c>
      <c r="AI364">
        <f t="shared" si="18"/>
        <v>175.64999999999998</v>
      </c>
    </row>
    <row r="365" spans="1:35" x14ac:dyDescent="0.25">
      <c r="A365" t="s">
        <v>28</v>
      </c>
      <c r="B365">
        <v>2023</v>
      </c>
      <c r="C365" t="s">
        <v>34</v>
      </c>
      <c r="D365">
        <v>173.3</v>
      </c>
      <c r="E365">
        <v>206.9</v>
      </c>
      <c r="F365">
        <v>167.9</v>
      </c>
      <c r="G365">
        <v>178.2</v>
      </c>
      <c r="H365">
        <v>178.5</v>
      </c>
      <c r="I365">
        <v>173.7</v>
      </c>
      <c r="J365">
        <v>142.80000000000001</v>
      </c>
      <c r="K365">
        <v>172.8</v>
      </c>
      <c r="L365">
        <v>120.4</v>
      </c>
      <c r="M365">
        <v>215.5</v>
      </c>
      <c r="N365">
        <v>178.2</v>
      </c>
      <c r="O365">
        <v>190.5</v>
      </c>
      <c r="P365">
        <v>175.5</v>
      </c>
      <c r="Q365" s="1">
        <f>AVERAGE(Table1[[#This Row],[Cereals and products]:[Food and beverages]])</f>
        <v>174.93846153846152</v>
      </c>
      <c r="R365">
        <v>199.5</v>
      </c>
      <c r="S365">
        <v>190.7</v>
      </c>
      <c r="T365">
        <v>187.3</v>
      </c>
      <c r="U365">
        <v>190.2</v>
      </c>
      <c r="V365" s="1">
        <f>AVERAGE(Table1[[#This Row],[Clothing]:[Clothing and footwear]])</f>
        <v>189.4</v>
      </c>
      <c r="X365">
        <v>181.5</v>
      </c>
      <c r="Y365">
        <v>179.1</v>
      </c>
      <c r="Z365">
        <v>187.2</v>
      </c>
      <c r="AA365">
        <v>169.4</v>
      </c>
      <c r="AB365" s="1">
        <f t="shared" si="16"/>
        <v>176.66666666666666</v>
      </c>
      <c r="AC365">
        <v>173.2</v>
      </c>
      <c r="AD365">
        <v>179.4</v>
      </c>
      <c r="AE365">
        <v>183.8</v>
      </c>
      <c r="AF365">
        <f t="shared" si="17"/>
        <v>185.5</v>
      </c>
      <c r="AG365">
        <v>178.9</v>
      </c>
      <c r="AH365">
        <v>178.8</v>
      </c>
      <c r="AI365">
        <f t="shared" si="18"/>
        <v>178.85000000000002</v>
      </c>
    </row>
    <row r="366" spans="1:35" x14ac:dyDescent="0.25">
      <c r="A366" t="s">
        <v>30</v>
      </c>
      <c r="B366">
        <v>2023</v>
      </c>
      <c r="C366" t="s">
        <v>34</v>
      </c>
      <c r="D366">
        <v>174.8</v>
      </c>
      <c r="E366">
        <v>213.7</v>
      </c>
      <c r="F366">
        <v>172.4</v>
      </c>
      <c r="G366">
        <v>178.8</v>
      </c>
      <c r="H366">
        <v>168.7</v>
      </c>
      <c r="I366">
        <v>179.2</v>
      </c>
      <c r="J366">
        <v>179.9</v>
      </c>
      <c r="K366">
        <v>174.7</v>
      </c>
      <c r="L366">
        <v>123.1</v>
      </c>
      <c r="M366">
        <v>207.8</v>
      </c>
      <c r="N366">
        <v>165.5</v>
      </c>
      <c r="O366">
        <v>197</v>
      </c>
      <c r="P366">
        <v>182.1</v>
      </c>
      <c r="Q366" s="1">
        <f>AVERAGE(Table1[[#This Row],[Cereals and products]:[Food and beverages]])</f>
        <v>178.28461538461539</v>
      </c>
      <c r="R366">
        <v>203.5</v>
      </c>
      <c r="S366">
        <v>181</v>
      </c>
      <c r="T366">
        <v>167.7</v>
      </c>
      <c r="U366">
        <v>178.9</v>
      </c>
      <c r="V366" s="1">
        <f>AVERAGE(Table1[[#This Row],[Clothing]:[Clothing and footwear]])</f>
        <v>175.86666666666667</v>
      </c>
      <c r="W366">
        <v>175.2</v>
      </c>
      <c r="X366">
        <v>182.1</v>
      </c>
      <c r="Y366">
        <v>169.6</v>
      </c>
      <c r="Z366">
        <v>181.5</v>
      </c>
      <c r="AA366">
        <v>160.1</v>
      </c>
      <c r="AB366" s="1">
        <f t="shared" si="16"/>
        <v>171.75</v>
      </c>
      <c r="AC366">
        <v>168.8</v>
      </c>
      <c r="AD366">
        <v>174.2</v>
      </c>
      <c r="AE366">
        <v>184.4</v>
      </c>
      <c r="AF366">
        <f t="shared" si="17"/>
        <v>182.95</v>
      </c>
      <c r="AG366">
        <v>170.9</v>
      </c>
      <c r="AH366">
        <v>177.4</v>
      </c>
      <c r="AI366">
        <f t="shared" si="18"/>
        <v>174.15</v>
      </c>
    </row>
    <row r="367" spans="1:35" x14ac:dyDescent="0.25">
      <c r="A367" t="s">
        <v>31</v>
      </c>
      <c r="B367">
        <v>2023</v>
      </c>
      <c r="C367" t="s">
        <v>34</v>
      </c>
      <c r="D367">
        <v>173.8</v>
      </c>
      <c r="E367">
        <v>209.3</v>
      </c>
      <c r="F367">
        <v>169.6</v>
      </c>
      <c r="G367">
        <v>178.4</v>
      </c>
      <c r="H367">
        <v>174.9</v>
      </c>
      <c r="I367">
        <v>176.3</v>
      </c>
      <c r="J367">
        <v>155.4</v>
      </c>
      <c r="K367">
        <v>173.4</v>
      </c>
      <c r="L367">
        <v>121.3</v>
      </c>
      <c r="M367">
        <v>212.9</v>
      </c>
      <c r="N367">
        <v>172.9</v>
      </c>
      <c r="O367">
        <v>193.5</v>
      </c>
      <c r="P367">
        <v>177.9</v>
      </c>
      <c r="Q367" s="1">
        <f>AVERAGE(Table1[[#This Row],[Cereals and products]:[Food and beverages]])</f>
        <v>176.12307692307695</v>
      </c>
      <c r="R367">
        <v>200.6</v>
      </c>
      <c r="S367">
        <v>186.9</v>
      </c>
      <c r="T367">
        <v>179.2</v>
      </c>
      <c r="U367">
        <v>185.7</v>
      </c>
      <c r="V367" s="1">
        <f>AVERAGE(Table1[[#This Row],[Clothing]:[Clothing and footwear]])</f>
        <v>183.93333333333331</v>
      </c>
      <c r="W367">
        <v>175.2</v>
      </c>
      <c r="X367">
        <v>181.7</v>
      </c>
      <c r="Y367">
        <v>174.6</v>
      </c>
      <c r="Z367">
        <v>185</v>
      </c>
      <c r="AA367">
        <v>164.5</v>
      </c>
      <c r="AB367" s="1">
        <f t="shared" si="16"/>
        <v>174</v>
      </c>
      <c r="AC367">
        <v>170.7</v>
      </c>
      <c r="AD367">
        <v>176.4</v>
      </c>
      <c r="AE367">
        <v>184</v>
      </c>
      <c r="AF367">
        <f t="shared" si="17"/>
        <v>184.5</v>
      </c>
      <c r="AG367">
        <v>175</v>
      </c>
      <c r="AH367">
        <v>178.1</v>
      </c>
      <c r="AI367">
        <f t="shared" si="18"/>
        <v>176.55</v>
      </c>
    </row>
    <row r="368" spans="1:35" x14ac:dyDescent="0.25">
      <c r="A368" t="s">
        <v>28</v>
      </c>
      <c r="B368">
        <v>2023</v>
      </c>
      <c r="C368" t="s">
        <v>35</v>
      </c>
      <c r="D368">
        <v>173.2</v>
      </c>
      <c r="E368">
        <v>211.5</v>
      </c>
      <c r="F368">
        <v>171</v>
      </c>
      <c r="G368">
        <v>179.6</v>
      </c>
      <c r="H368">
        <v>173.3</v>
      </c>
      <c r="I368">
        <v>169</v>
      </c>
      <c r="J368">
        <v>148.69999999999999</v>
      </c>
      <c r="K368">
        <v>174.9</v>
      </c>
      <c r="L368">
        <v>121.9</v>
      </c>
      <c r="M368">
        <v>221</v>
      </c>
      <c r="N368">
        <v>178.7</v>
      </c>
      <c r="O368">
        <v>191.1</v>
      </c>
      <c r="P368">
        <v>176.8</v>
      </c>
      <c r="Q368" s="1">
        <f>AVERAGE(Table1[[#This Row],[Cereals and products]:[Food and beverages]])</f>
        <v>176.20769230769235</v>
      </c>
      <c r="R368">
        <v>199.9</v>
      </c>
      <c r="S368">
        <v>191.2</v>
      </c>
      <c r="T368">
        <v>187.9</v>
      </c>
      <c r="U368">
        <v>190.8</v>
      </c>
      <c r="V368" s="1">
        <f>AVERAGE(Table1[[#This Row],[Clothing]:[Clothing and footwear]])</f>
        <v>189.9666666666667</v>
      </c>
      <c r="X368">
        <v>182.5</v>
      </c>
      <c r="Y368">
        <v>179.8</v>
      </c>
      <c r="Z368">
        <v>187.8</v>
      </c>
      <c r="AA368">
        <v>169.7</v>
      </c>
      <c r="AB368" s="1">
        <f t="shared" si="16"/>
        <v>177.33333333333334</v>
      </c>
      <c r="AC368">
        <v>173.8</v>
      </c>
      <c r="AD368">
        <v>180.3</v>
      </c>
      <c r="AE368">
        <v>184.9</v>
      </c>
      <c r="AF368">
        <f t="shared" si="17"/>
        <v>186.35000000000002</v>
      </c>
      <c r="AG368">
        <v>179.5</v>
      </c>
      <c r="AH368">
        <v>179.8</v>
      </c>
      <c r="AI368">
        <f t="shared" si="18"/>
        <v>179.65</v>
      </c>
    </row>
    <row r="369" spans="1:35" x14ac:dyDescent="0.25">
      <c r="A369" t="s">
        <v>30</v>
      </c>
      <c r="B369">
        <v>2023</v>
      </c>
      <c r="C369" t="s">
        <v>35</v>
      </c>
      <c r="D369">
        <v>174.7</v>
      </c>
      <c r="E369">
        <v>219.4</v>
      </c>
      <c r="F369">
        <v>176.7</v>
      </c>
      <c r="G369">
        <v>179.4</v>
      </c>
      <c r="H369">
        <v>164.4</v>
      </c>
      <c r="I369">
        <v>175.8</v>
      </c>
      <c r="J369">
        <v>185</v>
      </c>
      <c r="K369">
        <v>176.9</v>
      </c>
      <c r="L369">
        <v>124.2</v>
      </c>
      <c r="M369">
        <v>211.9</v>
      </c>
      <c r="N369">
        <v>165.9</v>
      </c>
      <c r="O369">
        <v>197.7</v>
      </c>
      <c r="P369">
        <v>183.1</v>
      </c>
      <c r="Q369" s="1">
        <f>AVERAGE(Table1[[#This Row],[Cereals and products]:[Food and beverages]])</f>
        <v>179.62307692307692</v>
      </c>
      <c r="R369">
        <v>204.2</v>
      </c>
      <c r="S369">
        <v>181.3</v>
      </c>
      <c r="T369">
        <v>168.1</v>
      </c>
      <c r="U369">
        <v>179.3</v>
      </c>
      <c r="V369" s="1">
        <f>AVERAGE(Table1[[#This Row],[Clothing]:[Clothing and footwear]])</f>
        <v>176.23333333333335</v>
      </c>
      <c r="W369">
        <v>175.6</v>
      </c>
      <c r="X369">
        <v>183.4</v>
      </c>
      <c r="Y369">
        <v>170.1</v>
      </c>
      <c r="Z369">
        <v>182.2</v>
      </c>
      <c r="AA369">
        <v>160.4</v>
      </c>
      <c r="AB369" s="1">
        <f t="shared" si="16"/>
        <v>172.375</v>
      </c>
      <c r="AC369">
        <v>169.2</v>
      </c>
      <c r="AD369">
        <v>174.8</v>
      </c>
      <c r="AE369">
        <v>185.6</v>
      </c>
      <c r="AF369">
        <f t="shared" si="17"/>
        <v>183.89999999999998</v>
      </c>
      <c r="AG369">
        <v>171.6</v>
      </c>
      <c r="AH369">
        <v>178.2</v>
      </c>
      <c r="AI369">
        <f t="shared" si="18"/>
        <v>174.89999999999998</v>
      </c>
    </row>
    <row r="370" spans="1:35" x14ac:dyDescent="0.25">
      <c r="A370" t="s">
        <v>31</v>
      </c>
      <c r="B370">
        <v>2023</v>
      </c>
      <c r="C370" t="s">
        <v>35</v>
      </c>
      <c r="D370">
        <v>173.7</v>
      </c>
      <c r="E370">
        <v>214.3</v>
      </c>
      <c r="F370">
        <v>173.2</v>
      </c>
      <c r="G370">
        <v>179.5</v>
      </c>
      <c r="H370">
        <v>170</v>
      </c>
      <c r="I370">
        <v>172.2</v>
      </c>
      <c r="J370">
        <v>161</v>
      </c>
      <c r="K370">
        <v>175.6</v>
      </c>
      <c r="L370">
        <v>122.7</v>
      </c>
      <c r="M370">
        <v>218</v>
      </c>
      <c r="N370">
        <v>173.4</v>
      </c>
      <c r="O370">
        <v>194.2</v>
      </c>
      <c r="P370">
        <v>179.1</v>
      </c>
      <c r="Q370" s="1">
        <f>AVERAGE(Table1[[#This Row],[Cereals and products]:[Food and beverages]])</f>
        <v>177.45384615384617</v>
      </c>
      <c r="R370">
        <v>201</v>
      </c>
      <c r="S370">
        <v>187.3</v>
      </c>
      <c r="T370">
        <v>179.7</v>
      </c>
      <c r="U370">
        <v>186.2</v>
      </c>
      <c r="V370" s="1">
        <f>AVERAGE(Table1[[#This Row],[Clothing]:[Clothing and footwear]])</f>
        <v>184.4</v>
      </c>
      <c r="W370">
        <v>175.6</v>
      </c>
      <c r="X370">
        <v>182.8</v>
      </c>
      <c r="Y370">
        <v>175.2</v>
      </c>
      <c r="Z370">
        <v>185.7</v>
      </c>
      <c r="AA370">
        <v>164.8</v>
      </c>
      <c r="AB370" s="1">
        <f t="shared" si="16"/>
        <v>174.59999999999997</v>
      </c>
      <c r="AC370">
        <v>171.2</v>
      </c>
      <c r="AD370">
        <v>177.1</v>
      </c>
      <c r="AE370">
        <v>185.2</v>
      </c>
      <c r="AF370">
        <f t="shared" si="17"/>
        <v>185.45</v>
      </c>
      <c r="AG370">
        <v>175.7</v>
      </c>
      <c r="AH370">
        <v>179.1</v>
      </c>
      <c r="AI370">
        <f t="shared" si="18"/>
        <v>177.39999999999998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759B-BD3B-4D77-8963-3F64C508DBCE}">
  <dimension ref="A1:L370"/>
  <sheetViews>
    <sheetView zoomScale="90" zoomScaleNormal="90" workbookViewId="0">
      <selection activeCell="H256" sqref="H256"/>
    </sheetView>
  </sheetViews>
  <sheetFormatPr defaultRowHeight="15" x14ac:dyDescent="0.25"/>
  <cols>
    <col min="4" max="4" width="14.7109375" style="1" customWidth="1"/>
    <col min="5" max="5" width="27.42578125" customWidth="1"/>
    <col min="6" max="6" width="10.85546875" style="1" customWidth="1"/>
    <col min="7" max="7" width="18" style="1" customWidth="1"/>
    <col min="8" max="8" width="27.140625" customWidth="1"/>
    <col min="9" max="9" width="11.5703125" customWidth="1"/>
    <col min="10" max="10" width="25.5703125" customWidth="1"/>
    <col min="11" max="11" width="31.42578125" style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47</v>
      </c>
      <c r="E1" t="s">
        <v>15</v>
      </c>
      <c r="F1" s="1" t="s">
        <v>48</v>
      </c>
      <c r="G1" s="1" t="s">
        <v>51</v>
      </c>
      <c r="H1" t="s">
        <v>24</v>
      </c>
      <c r="I1" t="s">
        <v>25</v>
      </c>
      <c r="J1" t="s">
        <v>49</v>
      </c>
      <c r="K1" s="1" t="s">
        <v>50</v>
      </c>
      <c r="L1" t="s">
        <v>52</v>
      </c>
    </row>
    <row r="2" spans="1:12" hidden="1" x14ac:dyDescent="0.25">
      <c r="A2" t="s">
        <v>28</v>
      </c>
      <c r="B2">
        <v>2013</v>
      </c>
      <c r="C2" t="s">
        <v>29</v>
      </c>
      <c r="D2" s="1">
        <v>105.5153846153846</v>
      </c>
      <c r="E2">
        <v>105.1</v>
      </c>
      <c r="F2" s="1">
        <v>106.23333333333335</v>
      </c>
      <c r="G2" s="1">
        <v>104.53333333333335</v>
      </c>
      <c r="H2">
        <v>103.4</v>
      </c>
      <c r="I2">
        <v>103.8</v>
      </c>
      <c r="J2">
        <v>104.35</v>
      </c>
      <c r="K2" s="1">
        <v>104.55</v>
      </c>
      <c r="L2">
        <f>SUM(Table2[[#This Row],[Food average]:[Miscelleneous and general index]])</f>
        <v>837.4820512820512</v>
      </c>
    </row>
    <row r="3" spans="1:12" hidden="1" x14ac:dyDescent="0.25">
      <c r="A3" t="s">
        <v>30</v>
      </c>
      <c r="B3">
        <v>2013</v>
      </c>
      <c r="C3" t="s">
        <v>29</v>
      </c>
      <c r="D3" s="1">
        <v>105.87692307692308</v>
      </c>
      <c r="E3">
        <v>105.2</v>
      </c>
      <c r="F3" s="1">
        <v>105.56666666666666</v>
      </c>
      <c r="G3" s="1">
        <v>103.425</v>
      </c>
      <c r="H3">
        <v>102.9</v>
      </c>
      <c r="I3">
        <v>103.5</v>
      </c>
      <c r="J3">
        <v>104.19999999999999</v>
      </c>
      <c r="K3" s="1">
        <v>103.85</v>
      </c>
      <c r="L3">
        <f>SUM(Table2[[#This Row],[Food average]:[Miscelleneous and general index]])</f>
        <v>834.51858974358981</v>
      </c>
    </row>
    <row r="4" spans="1:12" hidden="1" x14ac:dyDescent="0.25">
      <c r="A4" t="s">
        <v>31</v>
      </c>
      <c r="B4">
        <v>2013</v>
      </c>
      <c r="C4" t="s">
        <v>29</v>
      </c>
      <c r="D4" s="1">
        <v>105.63846153846156</v>
      </c>
      <c r="E4">
        <v>105.1</v>
      </c>
      <c r="F4" s="1">
        <v>106</v>
      </c>
      <c r="G4" s="1">
        <v>103.45</v>
      </c>
      <c r="H4">
        <v>103.1</v>
      </c>
      <c r="I4">
        <v>103.6</v>
      </c>
      <c r="J4">
        <v>104.25</v>
      </c>
      <c r="K4" s="1">
        <v>104.25</v>
      </c>
      <c r="L4">
        <f>SUM(Table2[[#This Row],[Food average]:[Miscelleneous and general index]])</f>
        <v>835.38846153846157</v>
      </c>
    </row>
    <row r="5" spans="1:12" hidden="1" x14ac:dyDescent="0.25">
      <c r="A5" t="s">
        <v>28</v>
      </c>
      <c r="B5">
        <v>2013</v>
      </c>
      <c r="C5" t="s">
        <v>32</v>
      </c>
      <c r="D5" s="1">
        <v>106.18461538461537</v>
      </c>
      <c r="E5">
        <v>105.6</v>
      </c>
      <c r="F5" s="1">
        <v>106.8</v>
      </c>
      <c r="G5" s="1">
        <v>105.10000000000001</v>
      </c>
      <c r="H5">
        <v>104</v>
      </c>
      <c r="I5">
        <v>104.1</v>
      </c>
      <c r="J5">
        <v>104.5</v>
      </c>
      <c r="K5" s="1">
        <v>105.1</v>
      </c>
      <c r="L5">
        <f>SUM(Table2[[#This Row],[Food average]:[Miscelleneous and general index]])</f>
        <v>841.38461538461547</v>
      </c>
    </row>
    <row r="6" spans="1:12" hidden="1" x14ac:dyDescent="0.25">
      <c r="A6" t="s">
        <v>30</v>
      </c>
      <c r="B6">
        <v>2013</v>
      </c>
      <c r="C6" t="s">
        <v>32</v>
      </c>
      <c r="D6" s="1">
        <v>106.96923076923078</v>
      </c>
      <c r="E6">
        <v>106</v>
      </c>
      <c r="F6" s="1">
        <v>106.16666666666667</v>
      </c>
      <c r="G6" s="1">
        <v>103.92500000000001</v>
      </c>
      <c r="H6">
        <v>103.3</v>
      </c>
      <c r="I6">
        <v>103.7</v>
      </c>
      <c r="J6">
        <v>104.5</v>
      </c>
      <c r="K6" s="1">
        <v>104.5</v>
      </c>
      <c r="L6">
        <f>SUM(Table2[[#This Row],[Food average]:[Miscelleneous and general index]])</f>
        <v>839.06089743589746</v>
      </c>
    </row>
    <row r="7" spans="1:12" hidden="1" x14ac:dyDescent="0.25">
      <c r="A7" t="s">
        <v>31</v>
      </c>
      <c r="B7">
        <v>2013</v>
      </c>
      <c r="C7" t="s">
        <v>32</v>
      </c>
      <c r="D7" s="1">
        <v>106.47692307692309</v>
      </c>
      <c r="E7">
        <v>105.7</v>
      </c>
      <c r="F7" s="1">
        <v>106.56666666666666</v>
      </c>
      <c r="G7" s="1">
        <v>103.95</v>
      </c>
      <c r="H7">
        <v>103.6</v>
      </c>
      <c r="I7">
        <v>103.9</v>
      </c>
      <c r="J7">
        <v>104.5</v>
      </c>
      <c r="K7" s="1">
        <v>104.85</v>
      </c>
      <c r="L7">
        <f>SUM(Table2[[#This Row],[Food average]:[Miscelleneous and general index]])</f>
        <v>839.54358974358968</v>
      </c>
    </row>
    <row r="8" spans="1:12" hidden="1" x14ac:dyDescent="0.25">
      <c r="A8" t="s">
        <v>28</v>
      </c>
      <c r="B8">
        <v>2013</v>
      </c>
      <c r="C8" t="s">
        <v>33</v>
      </c>
      <c r="D8" s="1">
        <v>106.32307692307693</v>
      </c>
      <c r="E8">
        <v>106.5</v>
      </c>
      <c r="F8" s="1">
        <v>107.3</v>
      </c>
      <c r="G8" s="1">
        <v>105.43333333333332</v>
      </c>
      <c r="H8">
        <v>104</v>
      </c>
      <c r="I8">
        <v>104.3</v>
      </c>
      <c r="J8">
        <v>104.5</v>
      </c>
      <c r="K8" s="1">
        <v>105.3</v>
      </c>
      <c r="L8">
        <f>SUM(Table2[[#This Row],[Food average]:[Miscelleneous and general index]])</f>
        <v>843.65641025641025</v>
      </c>
    </row>
    <row r="9" spans="1:12" hidden="1" x14ac:dyDescent="0.25">
      <c r="A9" t="s">
        <v>30</v>
      </c>
      <c r="B9">
        <v>2013</v>
      </c>
      <c r="C9" t="s">
        <v>33</v>
      </c>
      <c r="D9" s="1">
        <v>106.67692307692307</v>
      </c>
      <c r="E9">
        <v>106.8</v>
      </c>
      <c r="F9" s="1">
        <v>106.73333333333333</v>
      </c>
      <c r="G9" s="1">
        <v>104.4</v>
      </c>
      <c r="H9">
        <v>103.5</v>
      </c>
      <c r="I9">
        <v>103.8</v>
      </c>
      <c r="J9">
        <v>104.7</v>
      </c>
      <c r="K9" s="1">
        <v>104.95</v>
      </c>
      <c r="L9">
        <f>SUM(Table2[[#This Row],[Food average]:[Miscelleneous and general index]])</f>
        <v>841.56025641025644</v>
      </c>
    </row>
    <row r="10" spans="1:12" hidden="1" x14ac:dyDescent="0.25">
      <c r="A10" t="s">
        <v>31</v>
      </c>
      <c r="B10">
        <v>2013</v>
      </c>
      <c r="C10" t="s">
        <v>33</v>
      </c>
      <c r="D10" s="1">
        <v>106.46153846153848</v>
      </c>
      <c r="E10">
        <v>106.6</v>
      </c>
      <c r="F10" s="1">
        <v>107.06666666666666</v>
      </c>
      <c r="G10" s="1">
        <v>104.30000000000001</v>
      </c>
      <c r="H10">
        <v>103.7</v>
      </c>
      <c r="I10">
        <v>104</v>
      </c>
      <c r="J10">
        <v>104.6</v>
      </c>
      <c r="K10" s="1">
        <v>105.1</v>
      </c>
      <c r="L10">
        <f>SUM(Table2[[#This Row],[Food average]:[Miscelleneous and general index]])</f>
        <v>841.82820512820524</v>
      </c>
    </row>
    <row r="11" spans="1:12" hidden="1" x14ac:dyDescent="0.25">
      <c r="A11" t="s">
        <v>28</v>
      </c>
      <c r="B11">
        <v>2013</v>
      </c>
      <c r="C11" t="s">
        <v>34</v>
      </c>
      <c r="D11" s="1">
        <v>106.6</v>
      </c>
      <c r="E11">
        <v>107.1</v>
      </c>
      <c r="F11" s="1">
        <v>107.83333333333333</v>
      </c>
      <c r="G11" s="1">
        <v>105.66666666666667</v>
      </c>
      <c r="H11">
        <v>104.5</v>
      </c>
      <c r="I11">
        <v>104.8</v>
      </c>
      <c r="J11">
        <v>103.9</v>
      </c>
      <c r="K11" s="1">
        <v>105.5</v>
      </c>
      <c r="L11">
        <f>SUM(Table2[[#This Row],[Food average]:[Miscelleneous and general index]])</f>
        <v>845.9</v>
      </c>
    </row>
    <row r="12" spans="1:12" hidden="1" x14ac:dyDescent="0.25">
      <c r="A12" t="s">
        <v>30</v>
      </c>
      <c r="B12">
        <v>2013</v>
      </c>
      <c r="C12" t="s">
        <v>34</v>
      </c>
      <c r="D12" s="1">
        <v>107.5153846153846</v>
      </c>
      <c r="E12">
        <v>108.5</v>
      </c>
      <c r="F12" s="1">
        <v>107.33333333333333</v>
      </c>
      <c r="G12" s="1">
        <v>104.6</v>
      </c>
      <c r="H12">
        <v>104</v>
      </c>
      <c r="I12">
        <v>105.2</v>
      </c>
      <c r="J12">
        <v>104.45</v>
      </c>
      <c r="K12" s="1">
        <v>105.4</v>
      </c>
      <c r="L12">
        <f>SUM(Table2[[#This Row],[Food average]:[Miscelleneous and general index]])</f>
        <v>846.99871794871797</v>
      </c>
    </row>
    <row r="13" spans="1:12" hidden="1" x14ac:dyDescent="0.25">
      <c r="A13" t="s">
        <v>31</v>
      </c>
      <c r="B13">
        <v>2013</v>
      </c>
      <c r="C13" t="s">
        <v>34</v>
      </c>
      <c r="D13" s="1">
        <v>106.93846153846154</v>
      </c>
      <c r="E13">
        <v>107.5</v>
      </c>
      <c r="F13" s="1">
        <v>107.63333333333333</v>
      </c>
      <c r="G13" s="1">
        <v>104.5</v>
      </c>
      <c r="H13">
        <v>104.2</v>
      </c>
      <c r="I13">
        <v>105</v>
      </c>
      <c r="J13">
        <v>104.1</v>
      </c>
      <c r="K13" s="1">
        <v>105.44999999999999</v>
      </c>
      <c r="L13">
        <f>SUM(Table2[[#This Row],[Food average]:[Miscelleneous and general index]])</f>
        <v>845.32179487179496</v>
      </c>
    </row>
    <row r="14" spans="1:12" hidden="1" x14ac:dyDescent="0.25">
      <c r="A14" t="s">
        <v>28</v>
      </c>
      <c r="B14">
        <v>2013</v>
      </c>
      <c r="C14" t="s">
        <v>35</v>
      </c>
      <c r="D14" s="1">
        <v>107.23076923076923</v>
      </c>
      <c r="E14">
        <v>108.1</v>
      </c>
      <c r="F14" s="1">
        <v>108.43333333333332</v>
      </c>
      <c r="G14" s="1">
        <v>106.13333333333333</v>
      </c>
      <c r="H14">
        <v>105</v>
      </c>
      <c r="I14">
        <v>105.5</v>
      </c>
      <c r="J14">
        <v>103.9</v>
      </c>
      <c r="K14" s="1">
        <v>106</v>
      </c>
      <c r="L14">
        <f>SUM(Table2[[#This Row],[Food average]:[Miscelleneous and general index]])</f>
        <v>850.29743589743578</v>
      </c>
    </row>
    <row r="15" spans="1:12" hidden="1" x14ac:dyDescent="0.25">
      <c r="A15" t="s">
        <v>30</v>
      </c>
      <c r="B15">
        <v>2013</v>
      </c>
      <c r="C15" t="s">
        <v>35</v>
      </c>
      <c r="D15" s="1">
        <v>109.0153846153846</v>
      </c>
      <c r="E15">
        <v>109.8</v>
      </c>
      <c r="F15" s="1">
        <v>107.83333333333333</v>
      </c>
      <c r="G15" s="1">
        <v>104.67499999999998</v>
      </c>
      <c r="H15">
        <v>104.6</v>
      </c>
      <c r="I15">
        <v>105.7</v>
      </c>
      <c r="J15">
        <v>104.4</v>
      </c>
      <c r="K15" s="1">
        <v>105.75</v>
      </c>
      <c r="L15">
        <f>SUM(Table2[[#This Row],[Food average]:[Miscelleneous and general index]])</f>
        <v>851.77371794871794</v>
      </c>
    </row>
    <row r="16" spans="1:12" hidden="1" x14ac:dyDescent="0.25">
      <c r="A16" t="s">
        <v>31</v>
      </c>
      <c r="B16">
        <v>2013</v>
      </c>
      <c r="C16" t="s">
        <v>35</v>
      </c>
      <c r="D16" s="1">
        <v>107.86153846153844</v>
      </c>
      <c r="E16">
        <v>108.6</v>
      </c>
      <c r="F16" s="1">
        <v>108.2</v>
      </c>
      <c r="G16" s="1">
        <v>104.7</v>
      </c>
      <c r="H16">
        <v>104.8</v>
      </c>
      <c r="I16">
        <v>105.6</v>
      </c>
      <c r="J16">
        <v>104.1</v>
      </c>
      <c r="K16" s="1">
        <v>105.85</v>
      </c>
      <c r="L16">
        <f>SUM(Table2[[#This Row],[Food average]:[Miscelleneous and general index]])</f>
        <v>849.71153846153845</v>
      </c>
    </row>
    <row r="17" spans="1:12" hidden="1" x14ac:dyDescent="0.25">
      <c r="A17" t="s">
        <v>28</v>
      </c>
      <c r="B17">
        <v>2013</v>
      </c>
      <c r="C17" t="s">
        <v>36</v>
      </c>
      <c r="D17" s="1">
        <v>109.23076923076923</v>
      </c>
      <c r="E17">
        <v>109</v>
      </c>
      <c r="F17" s="1">
        <v>109.33333333333333</v>
      </c>
      <c r="G17" s="1">
        <v>107</v>
      </c>
      <c r="H17">
        <v>105.6</v>
      </c>
      <c r="I17">
        <v>106.5</v>
      </c>
      <c r="J17">
        <v>104.4</v>
      </c>
      <c r="K17" s="1">
        <v>107.2</v>
      </c>
      <c r="L17">
        <f>SUM(Table2[[#This Row],[Food average]:[Miscelleneous and general index]])</f>
        <v>858.26410256410259</v>
      </c>
    </row>
    <row r="18" spans="1:12" hidden="1" x14ac:dyDescent="0.25">
      <c r="A18" t="s">
        <v>30</v>
      </c>
      <c r="B18">
        <v>2013</v>
      </c>
      <c r="C18" t="s">
        <v>36</v>
      </c>
      <c r="D18" s="1">
        <v>112.66153846153847</v>
      </c>
      <c r="E18">
        <v>110.9</v>
      </c>
      <c r="F18" s="1">
        <v>108.43333333333334</v>
      </c>
      <c r="G18" s="1">
        <v>106.875</v>
      </c>
      <c r="H18">
        <v>105.2</v>
      </c>
      <c r="I18">
        <v>108.1</v>
      </c>
      <c r="J18">
        <v>104.9</v>
      </c>
      <c r="K18" s="1">
        <v>107.9</v>
      </c>
      <c r="L18">
        <f>SUM(Table2[[#This Row],[Food average]:[Miscelleneous and general index]])</f>
        <v>864.96987179487178</v>
      </c>
    </row>
    <row r="19" spans="1:12" hidden="1" x14ac:dyDescent="0.25">
      <c r="A19" t="s">
        <v>31</v>
      </c>
      <c r="B19">
        <v>2013</v>
      </c>
      <c r="C19" t="s">
        <v>36</v>
      </c>
      <c r="D19" s="1">
        <v>110.46153846153847</v>
      </c>
      <c r="E19">
        <v>109.5</v>
      </c>
      <c r="F19" s="1">
        <v>108.96666666666665</v>
      </c>
      <c r="G19" s="1">
        <v>106.9</v>
      </c>
      <c r="H19">
        <v>105.4</v>
      </c>
      <c r="I19">
        <v>107.4</v>
      </c>
      <c r="J19">
        <v>104.6</v>
      </c>
      <c r="K19" s="1">
        <v>107.55</v>
      </c>
      <c r="L19">
        <f>SUM(Table2[[#This Row],[Food average]:[Miscelleneous and general index]])</f>
        <v>860.77820512820506</v>
      </c>
    </row>
    <row r="20" spans="1:12" hidden="1" x14ac:dyDescent="0.25">
      <c r="A20" t="s">
        <v>28</v>
      </c>
      <c r="B20">
        <v>2013</v>
      </c>
      <c r="C20" t="s">
        <v>37</v>
      </c>
      <c r="D20" s="1">
        <v>111.22307692307689</v>
      </c>
      <c r="E20">
        <v>109.8</v>
      </c>
      <c r="F20" s="1">
        <v>110.10000000000001</v>
      </c>
      <c r="G20" s="1">
        <v>108.2</v>
      </c>
      <c r="H20">
        <v>106.4</v>
      </c>
      <c r="I20">
        <v>107.8</v>
      </c>
      <c r="J20">
        <v>104.7</v>
      </c>
      <c r="K20" s="1">
        <v>108.6</v>
      </c>
      <c r="L20">
        <f>SUM(Table2[[#This Row],[Food average]:[Miscelleneous and general index]])</f>
        <v>866.82307692307688</v>
      </c>
    </row>
    <row r="21" spans="1:12" hidden="1" x14ac:dyDescent="0.25">
      <c r="A21" t="s">
        <v>30</v>
      </c>
      <c r="B21">
        <v>2013</v>
      </c>
      <c r="C21" t="s">
        <v>37</v>
      </c>
      <c r="D21" s="1">
        <v>114.56923076923077</v>
      </c>
      <c r="E21">
        <v>111.7</v>
      </c>
      <c r="F21" s="1">
        <v>109.03333333333335</v>
      </c>
      <c r="G21" s="1">
        <v>107.925</v>
      </c>
      <c r="H21">
        <v>105.9</v>
      </c>
      <c r="I21">
        <v>110.1</v>
      </c>
      <c r="J21">
        <v>105.15</v>
      </c>
      <c r="K21" s="1">
        <v>109.35</v>
      </c>
      <c r="L21">
        <f>SUM(Table2[[#This Row],[Food average]:[Miscelleneous and general index]])</f>
        <v>873.7275641025642</v>
      </c>
    </row>
    <row r="22" spans="1:12" hidden="1" x14ac:dyDescent="0.25">
      <c r="A22" t="s">
        <v>31</v>
      </c>
      <c r="B22">
        <v>2013</v>
      </c>
      <c r="C22" t="s">
        <v>37</v>
      </c>
      <c r="D22" s="1">
        <v>112.41538461538461</v>
      </c>
      <c r="E22">
        <v>110.3</v>
      </c>
      <c r="F22" s="1">
        <v>109.66666666666667</v>
      </c>
      <c r="G22" s="1">
        <v>108.05000000000001</v>
      </c>
      <c r="H22">
        <v>106.1</v>
      </c>
      <c r="I22">
        <v>109.1</v>
      </c>
      <c r="J22">
        <v>104.9</v>
      </c>
      <c r="K22" s="1">
        <v>108.95</v>
      </c>
      <c r="L22">
        <f>SUM(Table2[[#This Row],[Food average]:[Miscelleneous and general index]])</f>
        <v>869.48205128205132</v>
      </c>
    </row>
    <row r="23" spans="1:12" hidden="1" x14ac:dyDescent="0.25">
      <c r="A23" t="s">
        <v>28</v>
      </c>
      <c r="B23">
        <v>2013</v>
      </c>
      <c r="C23" t="s">
        <v>38</v>
      </c>
      <c r="D23" s="1">
        <v>112.5</v>
      </c>
      <c r="E23">
        <v>110.7</v>
      </c>
      <c r="F23" s="1">
        <v>110.86666666666667</v>
      </c>
      <c r="G23" s="1">
        <v>108.80000000000001</v>
      </c>
      <c r="H23">
        <v>106.8</v>
      </c>
      <c r="I23">
        <v>108.7</v>
      </c>
      <c r="J23">
        <v>106.25</v>
      </c>
      <c r="K23" s="1">
        <v>109.8</v>
      </c>
      <c r="L23">
        <f>SUM(Table2[[#This Row],[Food average]:[Miscelleneous and general index]])</f>
        <v>874.41666666666663</v>
      </c>
    </row>
    <row r="24" spans="1:12" hidden="1" x14ac:dyDescent="0.25">
      <c r="A24" t="s">
        <v>30</v>
      </c>
      <c r="B24">
        <v>2013</v>
      </c>
      <c r="C24" t="s">
        <v>38</v>
      </c>
      <c r="D24" s="1">
        <v>115.85384615384616</v>
      </c>
      <c r="E24">
        <v>112.4</v>
      </c>
      <c r="F24" s="1">
        <v>109.69999999999999</v>
      </c>
      <c r="G24" s="1">
        <v>108.75</v>
      </c>
      <c r="H24">
        <v>106.5</v>
      </c>
      <c r="I24">
        <v>110.8</v>
      </c>
      <c r="J24">
        <v>106.8</v>
      </c>
      <c r="K24" s="1">
        <v>110.5</v>
      </c>
      <c r="L24">
        <f>SUM(Table2[[#This Row],[Food average]:[Miscelleneous and general index]])</f>
        <v>881.30384615384605</v>
      </c>
    </row>
    <row r="25" spans="1:12" hidden="1" x14ac:dyDescent="0.25">
      <c r="A25" t="s">
        <v>31</v>
      </c>
      <c r="B25">
        <v>2013</v>
      </c>
      <c r="C25" t="s">
        <v>38</v>
      </c>
      <c r="D25" s="1">
        <v>113.64615384615385</v>
      </c>
      <c r="E25">
        <v>111.2</v>
      </c>
      <c r="F25" s="1">
        <v>110.36666666666667</v>
      </c>
      <c r="G25" s="1">
        <v>108.825</v>
      </c>
      <c r="H25">
        <v>106.6</v>
      </c>
      <c r="I25">
        <v>109.9</v>
      </c>
      <c r="J25">
        <v>106.45</v>
      </c>
      <c r="K25" s="1">
        <v>110.15</v>
      </c>
      <c r="L25">
        <f>SUM(Table2[[#This Row],[Food average]:[Miscelleneous and general index]])</f>
        <v>877.13782051282055</v>
      </c>
    </row>
    <row r="26" spans="1:12" hidden="1" x14ac:dyDescent="0.25">
      <c r="A26" t="s">
        <v>28</v>
      </c>
      <c r="B26">
        <v>2013</v>
      </c>
      <c r="C26" t="s">
        <v>39</v>
      </c>
      <c r="D26" s="1">
        <v>114.50000000000001</v>
      </c>
      <c r="E26">
        <v>111.7</v>
      </c>
      <c r="F26" s="1">
        <v>112.2</v>
      </c>
      <c r="G26" s="1">
        <v>110</v>
      </c>
      <c r="H26">
        <v>107.7</v>
      </c>
      <c r="I26">
        <v>109.8</v>
      </c>
      <c r="J26">
        <v>107.5</v>
      </c>
      <c r="K26" s="1">
        <v>111.45</v>
      </c>
      <c r="L26">
        <f>SUM(Table2[[#This Row],[Food average]:[Miscelleneous and general index]])</f>
        <v>884.85</v>
      </c>
    </row>
    <row r="27" spans="1:12" hidden="1" x14ac:dyDescent="0.25">
      <c r="A27" t="s">
        <v>30</v>
      </c>
      <c r="B27">
        <v>2013</v>
      </c>
      <c r="C27" t="s">
        <v>39</v>
      </c>
      <c r="D27" s="1">
        <v>115.41538461538462</v>
      </c>
      <c r="E27">
        <v>112.9</v>
      </c>
      <c r="F27" s="1">
        <v>110.5</v>
      </c>
      <c r="G27" s="1">
        <v>109.79999999999998</v>
      </c>
      <c r="H27">
        <v>107.4</v>
      </c>
      <c r="I27">
        <v>111.2</v>
      </c>
      <c r="J27">
        <v>107.4</v>
      </c>
      <c r="K27" s="1">
        <v>111.30000000000001</v>
      </c>
      <c r="L27">
        <f>SUM(Table2[[#This Row],[Food average]:[Miscelleneous and general index]])</f>
        <v>885.91538461538471</v>
      </c>
    </row>
    <row r="28" spans="1:12" hidden="1" x14ac:dyDescent="0.25">
      <c r="A28" t="s">
        <v>31</v>
      </c>
      <c r="B28">
        <v>2013</v>
      </c>
      <c r="C28" t="s">
        <v>39</v>
      </c>
      <c r="D28" s="1">
        <v>114.74615384615383</v>
      </c>
      <c r="E28">
        <v>112</v>
      </c>
      <c r="F28" s="1">
        <v>111.5</v>
      </c>
      <c r="G28" s="1">
        <v>109.92499999999998</v>
      </c>
      <c r="H28">
        <v>107.5</v>
      </c>
      <c r="I28">
        <v>110.6</v>
      </c>
      <c r="J28">
        <v>107.44999999999999</v>
      </c>
      <c r="K28" s="1">
        <v>111.35</v>
      </c>
      <c r="L28">
        <f>SUM(Table2[[#This Row],[Food average]:[Miscelleneous and general index]])</f>
        <v>885.07115384615383</v>
      </c>
    </row>
    <row r="29" spans="1:12" hidden="1" x14ac:dyDescent="0.25">
      <c r="A29" t="s">
        <v>28</v>
      </c>
      <c r="B29">
        <v>2013</v>
      </c>
      <c r="C29" t="s">
        <v>40</v>
      </c>
      <c r="D29" s="1">
        <v>116</v>
      </c>
      <c r="E29">
        <v>112.2</v>
      </c>
      <c r="F29" s="1">
        <v>113.09999999999998</v>
      </c>
      <c r="G29" s="1">
        <v>110.43333333333334</v>
      </c>
      <c r="H29">
        <v>108.3</v>
      </c>
      <c r="I29">
        <v>110.2</v>
      </c>
      <c r="J29">
        <v>108.2</v>
      </c>
      <c r="K29" s="1">
        <v>112.3</v>
      </c>
      <c r="L29">
        <f>SUM(Table2[[#This Row],[Food average]:[Miscelleneous and general index]])</f>
        <v>890.73333333333335</v>
      </c>
    </row>
    <row r="30" spans="1:12" hidden="1" x14ac:dyDescent="0.25">
      <c r="A30" t="s">
        <v>30</v>
      </c>
      <c r="B30">
        <v>2013</v>
      </c>
      <c r="C30" t="s">
        <v>40</v>
      </c>
      <c r="D30" s="1">
        <v>116.7076923076923</v>
      </c>
      <c r="E30">
        <v>113.5</v>
      </c>
      <c r="F30" s="1">
        <v>111.39999999999999</v>
      </c>
      <c r="G30" s="1">
        <v>110.02499999999999</v>
      </c>
      <c r="H30">
        <v>108</v>
      </c>
      <c r="I30">
        <v>111.3</v>
      </c>
      <c r="J30">
        <v>107.75</v>
      </c>
      <c r="K30" s="1">
        <v>111.7</v>
      </c>
      <c r="L30">
        <f>SUM(Table2[[#This Row],[Food average]:[Miscelleneous and general index]])</f>
        <v>890.3826923076922</v>
      </c>
    </row>
    <row r="31" spans="1:12" hidden="1" x14ac:dyDescent="0.25">
      <c r="A31" t="s">
        <v>31</v>
      </c>
      <c r="B31">
        <v>2013</v>
      </c>
      <c r="C31" t="s">
        <v>40</v>
      </c>
      <c r="D31" s="1">
        <v>116.16923076923079</v>
      </c>
      <c r="E31">
        <v>112.5</v>
      </c>
      <c r="F31" s="1">
        <v>112.39999999999999</v>
      </c>
      <c r="G31" s="1">
        <v>110.3</v>
      </c>
      <c r="H31">
        <v>108.1</v>
      </c>
      <c r="I31">
        <v>110.8</v>
      </c>
      <c r="J31">
        <v>108</v>
      </c>
      <c r="K31" s="1">
        <v>112</v>
      </c>
      <c r="L31">
        <f>SUM(Table2[[#This Row],[Food average]:[Miscelleneous and general index]])</f>
        <v>890.26923076923072</v>
      </c>
    </row>
    <row r="32" spans="1:12" hidden="1" x14ac:dyDescent="0.25">
      <c r="A32" t="s">
        <v>28</v>
      </c>
      <c r="B32">
        <v>2013</v>
      </c>
      <c r="C32" t="s">
        <v>41</v>
      </c>
      <c r="D32" s="1">
        <v>118.21538461538461</v>
      </c>
      <c r="E32">
        <v>112.8</v>
      </c>
      <c r="F32" s="1">
        <v>114.03333333333335</v>
      </c>
      <c r="G32" s="1">
        <v>111.16666666666667</v>
      </c>
      <c r="H32">
        <v>108.7</v>
      </c>
      <c r="I32">
        <v>111</v>
      </c>
      <c r="J32">
        <v>108.95</v>
      </c>
      <c r="K32" s="1">
        <v>113.6</v>
      </c>
      <c r="L32">
        <f>SUM(Table2[[#This Row],[Food average]:[Miscelleneous and general index]])</f>
        <v>898.46538461538478</v>
      </c>
    </row>
    <row r="33" spans="1:12" hidden="1" x14ac:dyDescent="0.25">
      <c r="A33" t="s">
        <v>30</v>
      </c>
      <c r="B33">
        <v>2013</v>
      </c>
      <c r="C33" t="s">
        <v>42</v>
      </c>
      <c r="D33" s="1">
        <v>118.8153846153846</v>
      </c>
      <c r="E33">
        <v>114.1</v>
      </c>
      <c r="F33" s="1">
        <v>112.26666666666667</v>
      </c>
      <c r="G33" s="1">
        <v>110.375</v>
      </c>
      <c r="H33">
        <v>108.5</v>
      </c>
      <c r="I33">
        <v>111.3</v>
      </c>
      <c r="J33">
        <v>108.25</v>
      </c>
      <c r="K33" s="1">
        <v>112.3</v>
      </c>
      <c r="L33">
        <f>SUM(Table2[[#This Row],[Food average]:[Miscelleneous and general index]])</f>
        <v>895.90705128205116</v>
      </c>
    </row>
    <row r="34" spans="1:12" hidden="1" x14ac:dyDescent="0.25">
      <c r="A34" t="s">
        <v>31</v>
      </c>
      <c r="B34">
        <v>2013</v>
      </c>
      <c r="C34" t="s">
        <v>42</v>
      </c>
      <c r="D34" s="1">
        <v>118.36923076923077</v>
      </c>
      <c r="E34">
        <v>113.1</v>
      </c>
      <c r="F34" s="1">
        <v>113.30000000000001</v>
      </c>
      <c r="G34" s="1">
        <v>110.82499999999999</v>
      </c>
      <c r="H34">
        <v>108.6</v>
      </c>
      <c r="I34">
        <v>111.2</v>
      </c>
      <c r="J34">
        <v>108.69999999999999</v>
      </c>
      <c r="K34" s="1">
        <v>113</v>
      </c>
      <c r="L34">
        <f>SUM(Table2[[#This Row],[Food average]:[Miscelleneous and general index]])</f>
        <v>897.09423076923076</v>
      </c>
    </row>
    <row r="35" spans="1:12" hidden="1" x14ac:dyDescent="0.25">
      <c r="A35" t="s">
        <v>28</v>
      </c>
      <c r="B35">
        <v>2013</v>
      </c>
      <c r="C35" t="s">
        <v>43</v>
      </c>
      <c r="D35" s="1">
        <v>116.07692307692308</v>
      </c>
      <c r="E35">
        <v>113.6</v>
      </c>
      <c r="F35" s="1">
        <v>115.10000000000001</v>
      </c>
      <c r="G35" s="1">
        <v>111.59999999999998</v>
      </c>
      <c r="H35">
        <v>109.2</v>
      </c>
      <c r="I35">
        <v>111.6</v>
      </c>
      <c r="J35">
        <v>109.1</v>
      </c>
      <c r="K35" s="1">
        <v>112.8</v>
      </c>
      <c r="L35">
        <f>SUM(Table2[[#This Row],[Food average]:[Miscelleneous and general index]])</f>
        <v>899.07692307692309</v>
      </c>
    </row>
    <row r="36" spans="1:12" hidden="1" x14ac:dyDescent="0.25">
      <c r="A36" t="s">
        <v>30</v>
      </c>
      <c r="B36">
        <v>2013</v>
      </c>
      <c r="C36" t="s">
        <v>43</v>
      </c>
      <c r="D36" s="1">
        <v>115.72307692307693</v>
      </c>
      <c r="E36">
        <v>115</v>
      </c>
      <c r="F36" s="1">
        <v>112.93333333333334</v>
      </c>
      <c r="G36" s="1">
        <v>110.52500000000001</v>
      </c>
      <c r="H36">
        <v>108.9</v>
      </c>
      <c r="I36">
        <v>111.4</v>
      </c>
      <c r="J36">
        <v>108.35</v>
      </c>
      <c r="K36" s="1">
        <v>111.55</v>
      </c>
      <c r="L36">
        <f>SUM(Table2[[#This Row],[Food average]:[Miscelleneous and general index]])</f>
        <v>894.38141025641016</v>
      </c>
    </row>
    <row r="37" spans="1:12" hidden="1" x14ac:dyDescent="0.25">
      <c r="A37" t="s">
        <v>31</v>
      </c>
      <c r="B37">
        <v>2013</v>
      </c>
      <c r="C37" t="s">
        <v>43</v>
      </c>
      <c r="D37" s="1">
        <v>115.94615384615386</v>
      </c>
      <c r="E37">
        <v>114</v>
      </c>
      <c r="F37" s="1">
        <v>114.23333333333333</v>
      </c>
      <c r="G37" s="1">
        <v>111.02500000000001</v>
      </c>
      <c r="H37">
        <v>109</v>
      </c>
      <c r="I37">
        <v>111.5</v>
      </c>
      <c r="J37">
        <v>108.80000000000001</v>
      </c>
      <c r="K37" s="1">
        <v>112.25</v>
      </c>
      <c r="L37">
        <f>SUM(Table2[[#This Row],[Food average]:[Miscelleneous and general index]])</f>
        <v>896.75448717948711</v>
      </c>
    </row>
    <row r="38" spans="1:12" hidden="1" x14ac:dyDescent="0.25">
      <c r="A38" t="s">
        <v>28</v>
      </c>
      <c r="B38">
        <v>2014</v>
      </c>
      <c r="C38" t="s">
        <v>29</v>
      </c>
      <c r="D38" s="1">
        <v>114.35384615384616</v>
      </c>
      <c r="E38">
        <v>114</v>
      </c>
      <c r="F38" s="1">
        <v>115.73333333333333</v>
      </c>
      <c r="G38" s="1">
        <v>112.03333333333335</v>
      </c>
      <c r="H38">
        <v>109.6</v>
      </c>
      <c r="I38">
        <v>111.8</v>
      </c>
      <c r="J38">
        <v>109.44999999999999</v>
      </c>
      <c r="K38" s="1">
        <v>112.4</v>
      </c>
      <c r="L38">
        <f>SUM(Table2[[#This Row],[Food average]:[Miscelleneous and general index]])</f>
        <v>899.37051282051277</v>
      </c>
    </row>
    <row r="39" spans="1:12" hidden="1" x14ac:dyDescent="0.25">
      <c r="A39" t="s">
        <v>30</v>
      </c>
      <c r="B39">
        <v>2014</v>
      </c>
      <c r="C39" t="s">
        <v>29</v>
      </c>
      <c r="D39" s="1">
        <v>114.17692307692307</v>
      </c>
      <c r="E39">
        <v>115.7</v>
      </c>
      <c r="F39" s="1">
        <v>113.46666666666665</v>
      </c>
      <c r="G39" s="1">
        <v>111.325</v>
      </c>
      <c r="H39">
        <v>109.8</v>
      </c>
      <c r="I39">
        <v>111.5</v>
      </c>
      <c r="J39">
        <v>108.85</v>
      </c>
      <c r="K39" s="1">
        <v>111.7</v>
      </c>
      <c r="L39">
        <f>SUM(Table2[[#This Row],[Food average]:[Miscelleneous and general index]])</f>
        <v>896.51858974358981</v>
      </c>
    </row>
    <row r="40" spans="1:12" hidden="1" x14ac:dyDescent="0.25">
      <c r="A40" t="s">
        <v>31</v>
      </c>
      <c r="B40">
        <v>2014</v>
      </c>
      <c r="C40" t="s">
        <v>29</v>
      </c>
      <c r="D40" s="1">
        <v>114.29230769230767</v>
      </c>
      <c r="E40">
        <v>114.5</v>
      </c>
      <c r="F40" s="1">
        <v>114.8</v>
      </c>
      <c r="G40" s="1">
        <v>111.7</v>
      </c>
      <c r="H40">
        <v>109.7</v>
      </c>
      <c r="I40">
        <v>111.6</v>
      </c>
      <c r="J40">
        <v>109.25</v>
      </c>
      <c r="K40" s="1">
        <v>112.1</v>
      </c>
      <c r="L40">
        <f>SUM(Table2[[#This Row],[Food average]:[Miscelleneous and general index]])</f>
        <v>897.94230769230774</v>
      </c>
    </row>
    <row r="41" spans="1:12" hidden="1" x14ac:dyDescent="0.25">
      <c r="A41" t="s">
        <v>28</v>
      </c>
      <c r="B41">
        <v>2014</v>
      </c>
      <c r="C41" t="s">
        <v>32</v>
      </c>
      <c r="D41" s="1">
        <v>114.01538461538462</v>
      </c>
      <c r="E41">
        <v>114.2</v>
      </c>
      <c r="F41" s="1">
        <v>116.10000000000001</v>
      </c>
      <c r="G41" s="1">
        <v>112.30000000000001</v>
      </c>
      <c r="H41">
        <v>109.9</v>
      </c>
      <c r="I41">
        <v>112</v>
      </c>
      <c r="J41">
        <v>109.80000000000001</v>
      </c>
      <c r="K41" s="1">
        <v>112.45</v>
      </c>
      <c r="L41">
        <f>SUM(Table2[[#This Row],[Food average]:[Miscelleneous and general index]])</f>
        <v>900.76538461538462</v>
      </c>
    </row>
    <row r="42" spans="1:12" hidden="1" x14ac:dyDescent="0.25">
      <c r="A42" t="s">
        <v>30</v>
      </c>
      <c r="B42">
        <v>2014</v>
      </c>
      <c r="C42" t="s">
        <v>32</v>
      </c>
      <c r="D42" s="1">
        <v>113.53846153846153</v>
      </c>
      <c r="E42">
        <v>116.2</v>
      </c>
      <c r="F42" s="1">
        <v>113.89999999999999</v>
      </c>
      <c r="G42" s="1">
        <v>111.875</v>
      </c>
      <c r="H42">
        <v>110.3</v>
      </c>
      <c r="I42">
        <v>111.6</v>
      </c>
      <c r="J42">
        <v>109.55000000000001</v>
      </c>
      <c r="K42" s="1">
        <v>112.05</v>
      </c>
      <c r="L42">
        <f>SUM(Table2[[#This Row],[Food average]:[Miscelleneous and general index]])</f>
        <v>899.01346153846157</v>
      </c>
    </row>
    <row r="43" spans="1:12" hidden="1" x14ac:dyDescent="0.25">
      <c r="A43" t="s">
        <v>31</v>
      </c>
      <c r="B43">
        <v>2014</v>
      </c>
      <c r="C43" t="s">
        <v>32</v>
      </c>
      <c r="D43" s="1">
        <v>113.85384615384615</v>
      </c>
      <c r="E43">
        <v>114.7</v>
      </c>
      <c r="F43" s="1">
        <v>115.2</v>
      </c>
      <c r="G43" s="1">
        <v>112.19999999999999</v>
      </c>
      <c r="H43">
        <v>110.1</v>
      </c>
      <c r="I43">
        <v>111.8</v>
      </c>
      <c r="J43">
        <v>109.7</v>
      </c>
      <c r="K43" s="1">
        <v>112.25</v>
      </c>
      <c r="L43">
        <f>SUM(Table2[[#This Row],[Food average]:[Miscelleneous and general index]])</f>
        <v>899.80384615384617</v>
      </c>
    </row>
    <row r="44" spans="1:12" hidden="1" x14ac:dyDescent="0.25">
      <c r="A44" t="s">
        <v>28</v>
      </c>
      <c r="B44">
        <v>2014</v>
      </c>
      <c r="C44" t="s">
        <v>33</v>
      </c>
      <c r="D44" s="1">
        <v>114.72307692307693</v>
      </c>
      <c r="E44">
        <v>114.6</v>
      </c>
      <c r="F44" s="1">
        <v>116.53333333333335</v>
      </c>
      <c r="G44" s="1">
        <v>112.66666666666667</v>
      </c>
      <c r="H44">
        <v>110.2</v>
      </c>
      <c r="I44">
        <v>112.4</v>
      </c>
      <c r="J44">
        <v>110.15</v>
      </c>
      <c r="K44" s="1">
        <v>112.94999999999999</v>
      </c>
      <c r="L44">
        <f>SUM(Table2[[#This Row],[Food average]:[Miscelleneous and general index]])</f>
        <v>904.22307692307686</v>
      </c>
    </row>
    <row r="45" spans="1:12" hidden="1" x14ac:dyDescent="0.25">
      <c r="A45" t="s">
        <v>30</v>
      </c>
      <c r="B45">
        <v>2014</v>
      </c>
      <c r="C45" t="s">
        <v>33</v>
      </c>
      <c r="D45" s="1">
        <v>114.07692307692308</v>
      </c>
      <c r="E45">
        <v>116.7</v>
      </c>
      <c r="F45" s="1">
        <v>114.36666666666666</v>
      </c>
      <c r="G45" s="1">
        <v>112.17500000000001</v>
      </c>
      <c r="H45">
        <v>110.9</v>
      </c>
      <c r="I45">
        <v>111.8</v>
      </c>
      <c r="J45">
        <v>110</v>
      </c>
      <c r="K45" s="1">
        <v>112.55000000000001</v>
      </c>
      <c r="L45">
        <f>SUM(Table2[[#This Row],[Food average]:[Miscelleneous and general index]])</f>
        <v>902.56858974358965</v>
      </c>
    </row>
    <row r="46" spans="1:12" hidden="1" x14ac:dyDescent="0.25">
      <c r="A46" t="s">
        <v>31</v>
      </c>
      <c r="B46">
        <v>2014</v>
      </c>
      <c r="C46" t="s">
        <v>44</v>
      </c>
      <c r="D46" s="1">
        <v>114.48461538461537</v>
      </c>
      <c r="E46">
        <v>115.2</v>
      </c>
      <c r="F46" s="1">
        <v>115.63333333333333</v>
      </c>
      <c r="G46" s="1">
        <v>112.57499999999999</v>
      </c>
      <c r="H46">
        <v>110.6</v>
      </c>
      <c r="I46">
        <v>112</v>
      </c>
      <c r="J46">
        <v>110.1</v>
      </c>
      <c r="K46" s="1">
        <v>112.75</v>
      </c>
      <c r="L46">
        <f>SUM(Table2[[#This Row],[Food average]:[Miscelleneous and general index]])</f>
        <v>903.34294871794873</v>
      </c>
    </row>
    <row r="47" spans="1:12" hidden="1" x14ac:dyDescent="0.25">
      <c r="A47" t="s">
        <v>28</v>
      </c>
      <c r="B47">
        <v>2014</v>
      </c>
      <c r="C47" t="s">
        <v>34</v>
      </c>
      <c r="D47" s="1">
        <v>115.70000000000002</v>
      </c>
      <c r="E47">
        <v>115.4</v>
      </c>
      <c r="F47" s="1">
        <v>117.33333333333333</v>
      </c>
      <c r="G47" s="1">
        <v>112.76666666666667</v>
      </c>
      <c r="H47">
        <v>110.5</v>
      </c>
      <c r="I47">
        <v>113</v>
      </c>
      <c r="J47">
        <v>110.35</v>
      </c>
      <c r="K47" s="1">
        <v>113.45</v>
      </c>
      <c r="L47">
        <f>SUM(Table2[[#This Row],[Food average]:[Miscelleneous and general index]])</f>
        <v>908.50000000000011</v>
      </c>
    </row>
    <row r="48" spans="1:12" hidden="1" x14ac:dyDescent="0.25">
      <c r="A48" t="s">
        <v>30</v>
      </c>
      <c r="B48">
        <v>2014</v>
      </c>
      <c r="C48" t="s">
        <v>34</v>
      </c>
      <c r="D48" s="1">
        <v>115.69230769230771</v>
      </c>
      <c r="E48">
        <v>117.6</v>
      </c>
      <c r="F48" s="1">
        <v>114.83333333333333</v>
      </c>
      <c r="G48" s="1">
        <v>112.35000000000001</v>
      </c>
      <c r="H48">
        <v>111.2</v>
      </c>
      <c r="I48">
        <v>112.5</v>
      </c>
      <c r="J48">
        <v>110.05</v>
      </c>
      <c r="K48" s="1">
        <v>113.05000000000001</v>
      </c>
      <c r="L48">
        <f>SUM(Table2[[#This Row],[Food average]:[Miscelleneous and general index]])</f>
        <v>907.27564102564111</v>
      </c>
    </row>
    <row r="49" spans="1:12" hidden="1" x14ac:dyDescent="0.25">
      <c r="A49" t="s">
        <v>31</v>
      </c>
      <c r="B49">
        <v>2014</v>
      </c>
      <c r="C49" t="s">
        <v>34</v>
      </c>
      <c r="D49" s="1">
        <v>115.69999999999999</v>
      </c>
      <c r="E49">
        <v>116</v>
      </c>
      <c r="F49" s="1">
        <v>116.33333333333333</v>
      </c>
      <c r="G49" s="1">
        <v>112.8</v>
      </c>
      <c r="H49">
        <v>110.9</v>
      </c>
      <c r="I49">
        <v>112.7</v>
      </c>
      <c r="J49">
        <v>110.25</v>
      </c>
      <c r="K49" s="1">
        <v>113.3</v>
      </c>
      <c r="L49">
        <f>SUM(Table2[[#This Row],[Food average]:[Miscelleneous and general index]])</f>
        <v>907.98333333333335</v>
      </c>
    </row>
    <row r="50" spans="1:12" hidden="1" x14ac:dyDescent="0.25">
      <c r="A50" t="s">
        <v>28</v>
      </c>
      <c r="B50">
        <v>2014</v>
      </c>
      <c r="C50" t="s">
        <v>35</v>
      </c>
      <c r="D50" s="1">
        <v>116.45384615384614</v>
      </c>
      <c r="E50">
        <v>116.3</v>
      </c>
      <c r="F50" s="1">
        <v>118</v>
      </c>
      <c r="G50" s="1">
        <v>112.96666666666665</v>
      </c>
      <c r="H50">
        <v>110.9</v>
      </c>
      <c r="I50">
        <v>113.1</v>
      </c>
      <c r="J50">
        <v>110.5</v>
      </c>
      <c r="K50" s="1">
        <v>113.9</v>
      </c>
      <c r="L50">
        <f>SUM(Table2[[#This Row],[Food average]:[Miscelleneous and general index]])</f>
        <v>912.12051282051277</v>
      </c>
    </row>
    <row r="51" spans="1:12" hidden="1" x14ac:dyDescent="0.25">
      <c r="A51" t="s">
        <v>30</v>
      </c>
      <c r="B51">
        <v>2014</v>
      </c>
      <c r="C51" t="s">
        <v>35</v>
      </c>
      <c r="D51" s="1">
        <v>117.33076923076925</v>
      </c>
      <c r="E51">
        <v>118.3</v>
      </c>
      <c r="F51" s="1">
        <v>115.3</v>
      </c>
      <c r="G51" s="1">
        <v>112.7</v>
      </c>
      <c r="H51">
        <v>111.5</v>
      </c>
      <c r="I51">
        <v>112.9</v>
      </c>
      <c r="J51">
        <v>110.25</v>
      </c>
      <c r="K51" s="1">
        <v>113.65</v>
      </c>
      <c r="L51">
        <f>SUM(Table2[[#This Row],[Food average]:[Miscelleneous and general index]])</f>
        <v>911.93076923076922</v>
      </c>
    </row>
    <row r="52" spans="1:12" hidden="1" x14ac:dyDescent="0.25">
      <c r="A52" t="s">
        <v>31</v>
      </c>
      <c r="B52">
        <v>2014</v>
      </c>
      <c r="C52" t="s">
        <v>35</v>
      </c>
      <c r="D52" s="1">
        <v>116.80769230769235</v>
      </c>
      <c r="E52">
        <v>116.8</v>
      </c>
      <c r="F52" s="1">
        <v>116.93333333333332</v>
      </c>
      <c r="G52" s="1">
        <v>113.05</v>
      </c>
      <c r="H52">
        <v>111.2</v>
      </c>
      <c r="I52">
        <v>113</v>
      </c>
      <c r="J52">
        <v>110.44999999999999</v>
      </c>
      <c r="K52" s="1">
        <v>113.8</v>
      </c>
      <c r="L52">
        <f>SUM(Table2[[#This Row],[Food average]:[Miscelleneous and general index]])</f>
        <v>912.04102564102573</v>
      </c>
    </row>
    <row r="53" spans="1:12" hidden="1" x14ac:dyDescent="0.25">
      <c r="A53" t="s">
        <v>28</v>
      </c>
      <c r="B53">
        <v>2014</v>
      </c>
      <c r="C53" t="s">
        <v>36</v>
      </c>
      <c r="D53" s="1">
        <v>117.36153846153844</v>
      </c>
      <c r="E53">
        <v>117.3</v>
      </c>
      <c r="F53" s="1">
        <v>118.76666666666667</v>
      </c>
      <c r="G53" s="1">
        <v>113.83333333333333</v>
      </c>
      <c r="H53">
        <v>111.4</v>
      </c>
      <c r="I53">
        <v>114.3</v>
      </c>
      <c r="J53">
        <v>110.4</v>
      </c>
      <c r="K53" s="1">
        <v>114.65</v>
      </c>
      <c r="L53">
        <f>SUM(Table2[[#This Row],[Food average]:[Miscelleneous and general index]])</f>
        <v>918.01153846153829</v>
      </c>
    </row>
    <row r="54" spans="1:12" hidden="1" x14ac:dyDescent="0.25">
      <c r="A54" t="s">
        <v>30</v>
      </c>
      <c r="B54">
        <v>2014</v>
      </c>
      <c r="C54" t="s">
        <v>36</v>
      </c>
      <c r="D54" s="1">
        <v>119</v>
      </c>
      <c r="E54">
        <v>119</v>
      </c>
      <c r="F54" s="1">
        <v>115.76666666666667</v>
      </c>
      <c r="G54" s="1">
        <v>112.72500000000001</v>
      </c>
      <c r="H54">
        <v>111.8</v>
      </c>
      <c r="I54">
        <v>115.1</v>
      </c>
      <c r="J54">
        <v>110.05000000000001</v>
      </c>
      <c r="K54" s="1">
        <v>114.30000000000001</v>
      </c>
      <c r="L54">
        <f>SUM(Table2[[#This Row],[Food average]:[Miscelleneous and general index]])</f>
        <v>917.74166666666656</v>
      </c>
    </row>
    <row r="55" spans="1:12" hidden="1" x14ac:dyDescent="0.25">
      <c r="A55" t="s">
        <v>31</v>
      </c>
      <c r="B55">
        <v>2014</v>
      </c>
      <c r="C55" t="s">
        <v>36</v>
      </c>
      <c r="D55" s="1">
        <v>117.9769230769231</v>
      </c>
      <c r="E55">
        <v>117.8</v>
      </c>
      <c r="F55" s="1">
        <v>117.56666666666666</v>
      </c>
      <c r="G55" s="1">
        <v>113.37500000000001</v>
      </c>
      <c r="H55">
        <v>111.6</v>
      </c>
      <c r="I55">
        <v>114.8</v>
      </c>
      <c r="J55">
        <v>110.3</v>
      </c>
      <c r="K55" s="1">
        <v>114.5</v>
      </c>
      <c r="L55">
        <f>SUM(Table2[[#This Row],[Food average]:[Miscelleneous and general index]])</f>
        <v>917.91858974358968</v>
      </c>
    </row>
    <row r="56" spans="1:12" hidden="1" x14ac:dyDescent="0.25">
      <c r="A56" t="s">
        <v>28</v>
      </c>
      <c r="B56">
        <v>2014</v>
      </c>
      <c r="C56" t="s">
        <v>37</v>
      </c>
      <c r="D56" s="1">
        <v>120.24615384615385</v>
      </c>
      <c r="E56">
        <v>118</v>
      </c>
      <c r="F56" s="1">
        <v>119.76666666666667</v>
      </c>
      <c r="G56" s="1">
        <v>114.63333333333333</v>
      </c>
      <c r="H56">
        <v>111.8</v>
      </c>
      <c r="I56">
        <v>115.5</v>
      </c>
      <c r="J56">
        <v>111.1</v>
      </c>
      <c r="K56" s="1">
        <v>116.3</v>
      </c>
      <c r="L56">
        <f>SUM(Table2[[#This Row],[Food average]:[Miscelleneous and general index]])</f>
        <v>927.34615384615381</v>
      </c>
    </row>
    <row r="57" spans="1:12" hidden="1" x14ac:dyDescent="0.25">
      <c r="A57" t="s">
        <v>30</v>
      </c>
      <c r="B57">
        <v>2014</v>
      </c>
      <c r="C57" t="s">
        <v>37</v>
      </c>
      <c r="D57" s="1">
        <v>123.03846153846153</v>
      </c>
      <c r="E57">
        <v>121</v>
      </c>
      <c r="F57" s="1">
        <v>116.33333333333333</v>
      </c>
      <c r="G57" s="1">
        <v>113.57499999999999</v>
      </c>
      <c r="H57">
        <v>112.4</v>
      </c>
      <c r="I57">
        <v>117.8</v>
      </c>
      <c r="J57">
        <v>110.6</v>
      </c>
      <c r="K57" s="1">
        <v>116.2</v>
      </c>
      <c r="L57">
        <f>SUM(Table2[[#This Row],[Food average]:[Miscelleneous and general index]])</f>
        <v>930.94679487179485</v>
      </c>
    </row>
    <row r="58" spans="1:12" hidden="1" x14ac:dyDescent="0.25">
      <c r="A58" t="s">
        <v>31</v>
      </c>
      <c r="B58">
        <v>2014</v>
      </c>
      <c r="C58" t="s">
        <v>37</v>
      </c>
      <c r="D58" s="1">
        <v>121.25384615384615</v>
      </c>
      <c r="E58">
        <v>118.8</v>
      </c>
      <c r="F58" s="1">
        <v>118.33333333333333</v>
      </c>
      <c r="G58" s="1">
        <v>114.25</v>
      </c>
      <c r="H58">
        <v>112.1</v>
      </c>
      <c r="I58">
        <v>116.8</v>
      </c>
      <c r="J58">
        <v>110.95</v>
      </c>
      <c r="K58" s="1">
        <v>116.25</v>
      </c>
      <c r="L58">
        <f>SUM(Table2[[#This Row],[Food average]:[Miscelleneous and general index]])</f>
        <v>928.73717948717945</v>
      </c>
    </row>
    <row r="59" spans="1:12" hidden="1" x14ac:dyDescent="0.25">
      <c r="A59" t="s">
        <v>28</v>
      </c>
      <c r="B59">
        <v>2014</v>
      </c>
      <c r="C59" t="s">
        <v>38</v>
      </c>
      <c r="D59" s="1">
        <v>121.71538461538459</v>
      </c>
      <c r="E59">
        <v>118.8</v>
      </c>
      <c r="F59" s="1">
        <v>120.13333333333333</v>
      </c>
      <c r="G59" s="1">
        <v>114.83333333333333</v>
      </c>
      <c r="H59">
        <v>112.2</v>
      </c>
      <c r="I59">
        <v>116.2</v>
      </c>
      <c r="J59">
        <v>111.7</v>
      </c>
      <c r="K59" s="1">
        <v>117.1</v>
      </c>
      <c r="L59">
        <f>SUM(Table2[[#This Row],[Food average]:[Miscelleneous and general index]])</f>
        <v>932.68205128205136</v>
      </c>
    </row>
    <row r="60" spans="1:12" hidden="1" x14ac:dyDescent="0.25">
      <c r="A60" t="s">
        <v>30</v>
      </c>
      <c r="B60">
        <v>2014</v>
      </c>
      <c r="C60" t="s">
        <v>38</v>
      </c>
      <c r="D60" s="1">
        <v>124.38461538461539</v>
      </c>
      <c r="E60">
        <v>123</v>
      </c>
      <c r="F60" s="1">
        <v>116.86666666666667</v>
      </c>
      <c r="G60" s="1">
        <v>113.77500000000001</v>
      </c>
      <c r="H60">
        <v>112.9</v>
      </c>
      <c r="I60">
        <v>119.2</v>
      </c>
      <c r="J60">
        <v>111.35</v>
      </c>
      <c r="K60" s="1">
        <v>116.9</v>
      </c>
      <c r="L60">
        <f>SUM(Table2[[#This Row],[Food average]:[Miscelleneous and general index]])</f>
        <v>938.37628205128203</v>
      </c>
    </row>
    <row r="61" spans="1:12" hidden="1" x14ac:dyDescent="0.25">
      <c r="A61" t="s">
        <v>31</v>
      </c>
      <c r="B61">
        <v>2014</v>
      </c>
      <c r="C61" t="s">
        <v>38</v>
      </c>
      <c r="D61" s="1">
        <v>122.65384615384613</v>
      </c>
      <c r="E61">
        <v>119.9</v>
      </c>
      <c r="F61" s="1">
        <v>118.8</v>
      </c>
      <c r="G61" s="1">
        <v>114.47500000000001</v>
      </c>
      <c r="H61">
        <v>112.6</v>
      </c>
      <c r="I61">
        <v>118</v>
      </c>
      <c r="J61">
        <v>111.6</v>
      </c>
      <c r="K61" s="1">
        <v>117</v>
      </c>
      <c r="L61">
        <f>SUM(Table2[[#This Row],[Food average]:[Miscelleneous and general index]])</f>
        <v>935.02884615384619</v>
      </c>
    </row>
    <row r="62" spans="1:12" hidden="1" x14ac:dyDescent="0.25">
      <c r="A62" t="s">
        <v>28</v>
      </c>
      <c r="B62">
        <v>2014</v>
      </c>
      <c r="C62" t="s">
        <v>39</v>
      </c>
      <c r="D62" s="1">
        <v>121.78461538461539</v>
      </c>
      <c r="E62">
        <v>119.5</v>
      </c>
      <c r="F62" s="1">
        <v>120.73333333333333</v>
      </c>
      <c r="G62" s="1">
        <v>115.10000000000001</v>
      </c>
      <c r="H62">
        <v>112.6</v>
      </c>
      <c r="I62">
        <v>116.6</v>
      </c>
      <c r="J62">
        <v>111.8</v>
      </c>
      <c r="K62" s="1">
        <v>117.30000000000001</v>
      </c>
      <c r="L62">
        <f>SUM(Table2[[#This Row],[Food average]:[Miscelleneous and general index]])</f>
        <v>935.41794871794878</v>
      </c>
    </row>
    <row r="63" spans="1:12" hidden="1" x14ac:dyDescent="0.25">
      <c r="A63" t="s">
        <v>30</v>
      </c>
      <c r="B63">
        <v>2014</v>
      </c>
      <c r="C63" t="s">
        <v>39</v>
      </c>
      <c r="D63" s="1">
        <v>122.59230769230771</v>
      </c>
      <c r="E63">
        <v>124.3</v>
      </c>
      <c r="F63" s="1">
        <v>117.36666666666667</v>
      </c>
      <c r="G63" s="1">
        <v>113.64999999999999</v>
      </c>
      <c r="H63">
        <v>113.4</v>
      </c>
      <c r="I63">
        <v>120</v>
      </c>
      <c r="J63">
        <v>111.15</v>
      </c>
      <c r="K63" s="1">
        <v>116.4</v>
      </c>
      <c r="L63">
        <f>SUM(Table2[[#This Row],[Food average]:[Miscelleneous and general index]])</f>
        <v>938.85897435897436</v>
      </c>
    </row>
    <row r="64" spans="1:12" hidden="1" x14ac:dyDescent="0.25">
      <c r="A64" t="s">
        <v>31</v>
      </c>
      <c r="B64">
        <v>2014</v>
      </c>
      <c r="C64" t="s">
        <v>39</v>
      </c>
      <c r="D64" s="1">
        <v>122.00769230769228</v>
      </c>
      <c r="E64">
        <v>120.8</v>
      </c>
      <c r="F64" s="1">
        <v>119.33333333333333</v>
      </c>
      <c r="G64" s="1">
        <v>114.625</v>
      </c>
      <c r="H64">
        <v>113.1</v>
      </c>
      <c r="I64">
        <v>118.6</v>
      </c>
      <c r="J64">
        <v>111.6</v>
      </c>
      <c r="K64" s="1">
        <v>116.9</v>
      </c>
      <c r="L64">
        <f>SUM(Table2[[#This Row],[Food average]:[Miscelleneous and general index]])</f>
        <v>936.96602564102557</v>
      </c>
    </row>
    <row r="65" spans="1:12" hidden="1" x14ac:dyDescent="0.25">
      <c r="A65" t="s">
        <v>28</v>
      </c>
      <c r="B65">
        <v>2014</v>
      </c>
      <c r="C65" t="s">
        <v>40</v>
      </c>
      <c r="D65" s="1">
        <v>121.63076923076922</v>
      </c>
      <c r="E65">
        <v>120</v>
      </c>
      <c r="F65" s="1">
        <v>121.76666666666667</v>
      </c>
      <c r="G65" s="1">
        <v>115.5</v>
      </c>
      <c r="H65">
        <v>113</v>
      </c>
      <c r="I65">
        <v>116.9</v>
      </c>
      <c r="J65">
        <v>112.3</v>
      </c>
      <c r="K65" s="1">
        <v>117.5</v>
      </c>
      <c r="L65">
        <f>SUM(Table2[[#This Row],[Food average]:[Miscelleneous and general index]])</f>
        <v>938.59743589743573</v>
      </c>
    </row>
    <row r="66" spans="1:12" hidden="1" x14ac:dyDescent="0.25">
      <c r="A66" t="s">
        <v>30</v>
      </c>
      <c r="B66">
        <v>2014</v>
      </c>
      <c r="C66" t="s">
        <v>40</v>
      </c>
      <c r="D66" s="1">
        <v>122.11538461538461</v>
      </c>
      <c r="E66">
        <v>124.3</v>
      </c>
      <c r="F66" s="1">
        <v>117.8</v>
      </c>
      <c r="G66" s="1">
        <v>113.875</v>
      </c>
      <c r="H66">
        <v>113.6</v>
      </c>
      <c r="I66">
        <v>120.2</v>
      </c>
      <c r="J66">
        <v>111.35</v>
      </c>
      <c r="K66" s="1">
        <v>116.4</v>
      </c>
      <c r="L66">
        <f>SUM(Table2[[#This Row],[Food average]:[Miscelleneous and general index]])</f>
        <v>939.64038461538462</v>
      </c>
    </row>
    <row r="67" spans="1:12" hidden="1" x14ac:dyDescent="0.25">
      <c r="A67" t="s">
        <v>31</v>
      </c>
      <c r="B67">
        <v>2014</v>
      </c>
      <c r="C67" t="s">
        <v>40</v>
      </c>
      <c r="D67" s="1">
        <v>121.74615384615385</v>
      </c>
      <c r="E67">
        <v>121.1</v>
      </c>
      <c r="F67" s="1">
        <v>120.2</v>
      </c>
      <c r="G67" s="1">
        <v>114.97500000000001</v>
      </c>
      <c r="H67">
        <v>113.3</v>
      </c>
      <c r="I67">
        <v>118.8</v>
      </c>
      <c r="J67">
        <v>111.94999999999999</v>
      </c>
      <c r="K67" s="1">
        <v>117</v>
      </c>
      <c r="L67">
        <f>SUM(Table2[[#This Row],[Food average]:[Miscelleneous and general index]])</f>
        <v>939.07115384615372</v>
      </c>
    </row>
    <row r="68" spans="1:12" hidden="1" x14ac:dyDescent="0.25">
      <c r="A68" t="s">
        <v>28</v>
      </c>
      <c r="B68">
        <v>2014</v>
      </c>
      <c r="C68" t="s">
        <v>42</v>
      </c>
      <c r="D68" s="1">
        <v>121.69230769230769</v>
      </c>
      <c r="E68">
        <v>120.8</v>
      </c>
      <c r="F68" s="1">
        <v>122.23333333333335</v>
      </c>
      <c r="G68" s="1">
        <v>115.8</v>
      </c>
      <c r="H68">
        <v>113.3</v>
      </c>
      <c r="I68">
        <v>117.2</v>
      </c>
      <c r="J68">
        <v>112.35</v>
      </c>
      <c r="K68" s="1">
        <v>117.6</v>
      </c>
      <c r="L68">
        <f>SUM(Table2[[#This Row],[Food average]:[Miscelleneous and general index]])</f>
        <v>940.97564102564115</v>
      </c>
    </row>
    <row r="69" spans="1:12" hidden="1" x14ac:dyDescent="0.25">
      <c r="A69" t="s">
        <v>30</v>
      </c>
      <c r="B69">
        <v>2014</v>
      </c>
      <c r="C69" t="s">
        <v>42</v>
      </c>
      <c r="D69" s="1">
        <v>122.13846153846154</v>
      </c>
      <c r="E69">
        <v>125.8</v>
      </c>
      <c r="F69" s="1">
        <v>118.39999999999999</v>
      </c>
      <c r="G69" s="1">
        <v>113.95</v>
      </c>
      <c r="H69">
        <v>114</v>
      </c>
      <c r="I69">
        <v>120.3</v>
      </c>
      <c r="J69">
        <v>111.3</v>
      </c>
      <c r="K69" s="1">
        <v>116.2</v>
      </c>
      <c r="L69">
        <f>SUM(Table2[[#This Row],[Food average]:[Miscelleneous and general index]])</f>
        <v>942.08846153846139</v>
      </c>
    </row>
    <row r="70" spans="1:12" hidden="1" x14ac:dyDescent="0.25">
      <c r="A70" t="s">
        <v>31</v>
      </c>
      <c r="B70">
        <v>2014</v>
      </c>
      <c r="C70" t="s">
        <v>42</v>
      </c>
      <c r="D70" s="1">
        <v>121.78461538461539</v>
      </c>
      <c r="E70">
        <v>122.1</v>
      </c>
      <c r="F70" s="1">
        <v>120.7</v>
      </c>
      <c r="G70" s="1">
        <v>115.175</v>
      </c>
      <c r="H70">
        <v>113.7</v>
      </c>
      <c r="I70">
        <v>119</v>
      </c>
      <c r="J70">
        <v>111.94999999999999</v>
      </c>
      <c r="K70" s="1">
        <v>116.94999999999999</v>
      </c>
      <c r="L70">
        <f>SUM(Table2[[#This Row],[Food average]:[Miscelleneous and general index]])</f>
        <v>941.35961538461538</v>
      </c>
    </row>
    <row r="71" spans="1:12" hidden="1" x14ac:dyDescent="0.25">
      <c r="A71" t="s">
        <v>28</v>
      </c>
      <c r="B71">
        <v>2014</v>
      </c>
      <c r="C71" t="s">
        <v>43</v>
      </c>
      <c r="D71" s="1">
        <v>120.73846153846154</v>
      </c>
      <c r="E71">
        <v>121.7</v>
      </c>
      <c r="F71" s="1">
        <v>122.56666666666666</v>
      </c>
      <c r="G71" s="1">
        <v>115.7</v>
      </c>
      <c r="H71">
        <v>113.3</v>
      </c>
      <c r="I71">
        <v>117.7</v>
      </c>
      <c r="J71">
        <v>112.80000000000001</v>
      </c>
      <c r="K71" s="1">
        <v>117.25</v>
      </c>
      <c r="L71">
        <f>SUM(Table2[[#This Row],[Food average]:[Miscelleneous and general index]])</f>
        <v>941.75512820512813</v>
      </c>
    </row>
    <row r="72" spans="1:12" hidden="1" x14ac:dyDescent="0.25">
      <c r="A72" t="s">
        <v>30</v>
      </c>
      <c r="B72">
        <v>2014</v>
      </c>
      <c r="C72" t="s">
        <v>43</v>
      </c>
      <c r="D72" s="1">
        <v>121.32307692307691</v>
      </c>
      <c r="E72">
        <v>126.4</v>
      </c>
      <c r="F72" s="1">
        <v>118.83333333333333</v>
      </c>
      <c r="G72" s="1">
        <v>113.77500000000001</v>
      </c>
      <c r="H72">
        <v>114.3</v>
      </c>
      <c r="I72">
        <v>120.7</v>
      </c>
      <c r="J72">
        <v>111.80000000000001</v>
      </c>
      <c r="K72" s="1">
        <v>115.9</v>
      </c>
      <c r="L72">
        <f>SUM(Table2[[#This Row],[Food average]:[Miscelleneous and general index]])</f>
        <v>943.03141025641014</v>
      </c>
    </row>
    <row r="73" spans="1:12" hidden="1" x14ac:dyDescent="0.25">
      <c r="A73" t="s">
        <v>31</v>
      </c>
      <c r="B73">
        <v>2014</v>
      </c>
      <c r="C73" t="s">
        <v>43</v>
      </c>
      <c r="D73" s="1">
        <v>120.89999999999999</v>
      </c>
      <c r="E73">
        <v>123</v>
      </c>
      <c r="F73" s="1">
        <v>121.06666666666666</v>
      </c>
      <c r="G73" s="1">
        <v>114.94999999999999</v>
      </c>
      <c r="H73">
        <v>113.9</v>
      </c>
      <c r="I73">
        <v>119.5</v>
      </c>
      <c r="J73">
        <v>112.44999999999999</v>
      </c>
      <c r="K73" s="1">
        <v>116.6</v>
      </c>
      <c r="L73">
        <f>SUM(Table2[[#This Row],[Food average]:[Miscelleneous and general index]])</f>
        <v>942.36666666666667</v>
      </c>
    </row>
    <row r="74" spans="1:12" hidden="1" x14ac:dyDescent="0.25">
      <c r="A74" t="s">
        <v>28</v>
      </c>
      <c r="B74">
        <v>2015</v>
      </c>
      <c r="C74" t="s">
        <v>29</v>
      </c>
      <c r="D74" s="1">
        <v>120.62307692307692</v>
      </c>
      <c r="E74">
        <v>122.7</v>
      </c>
      <c r="F74" s="1">
        <v>123.33333333333333</v>
      </c>
      <c r="G74" s="1">
        <v>116.10000000000001</v>
      </c>
      <c r="H74">
        <v>114</v>
      </c>
      <c r="I74">
        <v>118.2</v>
      </c>
      <c r="J74">
        <v>113.4</v>
      </c>
      <c r="K74" s="1">
        <v>117.4</v>
      </c>
      <c r="L74">
        <f>SUM(Table2[[#This Row],[Food average]:[Miscelleneous and general index]])</f>
        <v>945.75641025641028</v>
      </c>
    </row>
    <row r="75" spans="1:12" hidden="1" x14ac:dyDescent="0.25">
      <c r="A75" t="s">
        <v>30</v>
      </c>
      <c r="B75">
        <v>2015</v>
      </c>
      <c r="C75" t="s">
        <v>29</v>
      </c>
      <c r="D75" s="1">
        <v>121.14615384615384</v>
      </c>
      <c r="E75">
        <v>127.4</v>
      </c>
      <c r="F75" s="1">
        <v>119.10000000000001</v>
      </c>
      <c r="G75" s="1">
        <v>113.94999999999999</v>
      </c>
      <c r="H75">
        <v>114.6</v>
      </c>
      <c r="I75">
        <v>120.8</v>
      </c>
      <c r="J75">
        <v>112.55000000000001</v>
      </c>
      <c r="K75" s="1">
        <v>115.95</v>
      </c>
      <c r="L75">
        <f>SUM(Table2[[#This Row],[Food average]:[Miscelleneous and general index]])</f>
        <v>945.4961538461539</v>
      </c>
    </row>
    <row r="76" spans="1:12" hidden="1" x14ac:dyDescent="0.25">
      <c r="A76" t="s">
        <v>31</v>
      </c>
      <c r="B76">
        <v>2015</v>
      </c>
      <c r="C76" t="s">
        <v>29</v>
      </c>
      <c r="D76" s="1">
        <v>120.71538461538461</v>
      </c>
      <c r="E76">
        <v>124</v>
      </c>
      <c r="F76" s="1">
        <v>121.63333333333333</v>
      </c>
      <c r="G76" s="1">
        <v>115.32499999999999</v>
      </c>
      <c r="H76">
        <v>114.3</v>
      </c>
      <c r="I76">
        <v>119.7</v>
      </c>
      <c r="J76">
        <v>113.1</v>
      </c>
      <c r="K76" s="1">
        <v>116.75</v>
      </c>
      <c r="L76">
        <f>SUM(Table2[[#This Row],[Food average]:[Miscelleneous and general index]])</f>
        <v>945.52371794871794</v>
      </c>
    </row>
    <row r="77" spans="1:12" hidden="1" x14ac:dyDescent="0.25">
      <c r="A77" t="s">
        <v>28</v>
      </c>
      <c r="B77">
        <v>2015</v>
      </c>
      <c r="C77" t="s">
        <v>32</v>
      </c>
      <c r="D77" s="1">
        <v>120.81538461538459</v>
      </c>
      <c r="E77">
        <v>124.2</v>
      </c>
      <c r="F77" s="1">
        <v>124.36666666666667</v>
      </c>
      <c r="G77" s="1">
        <v>116.83333333333333</v>
      </c>
      <c r="H77">
        <v>114.8</v>
      </c>
      <c r="I77">
        <v>118.7</v>
      </c>
      <c r="J77">
        <v>114.25</v>
      </c>
      <c r="K77" s="1">
        <v>117.8</v>
      </c>
      <c r="L77">
        <f>SUM(Table2[[#This Row],[Food average]:[Miscelleneous and general index]])</f>
        <v>951.76538461538462</v>
      </c>
    </row>
    <row r="78" spans="1:12" hidden="1" x14ac:dyDescent="0.25">
      <c r="A78" t="s">
        <v>30</v>
      </c>
      <c r="B78">
        <v>2015</v>
      </c>
      <c r="C78" t="s">
        <v>32</v>
      </c>
      <c r="D78" s="1">
        <v>120.85384615384616</v>
      </c>
      <c r="E78">
        <v>128.1</v>
      </c>
      <c r="F78" s="1">
        <v>119.46666666666665</v>
      </c>
      <c r="G78" s="1">
        <v>114.15</v>
      </c>
      <c r="H78">
        <v>114.9</v>
      </c>
      <c r="I78">
        <v>120.4</v>
      </c>
      <c r="J78">
        <v>112.9</v>
      </c>
      <c r="K78" s="1">
        <v>115.95</v>
      </c>
      <c r="L78">
        <f>SUM(Table2[[#This Row],[Food average]:[Miscelleneous and general index]])</f>
        <v>946.72051282051279</v>
      </c>
    </row>
    <row r="79" spans="1:12" hidden="1" x14ac:dyDescent="0.25">
      <c r="A79" t="s">
        <v>31</v>
      </c>
      <c r="B79">
        <v>2015</v>
      </c>
      <c r="C79" t="s">
        <v>32</v>
      </c>
      <c r="D79" s="1">
        <v>120.72307692307689</v>
      </c>
      <c r="E79">
        <v>125.2</v>
      </c>
      <c r="F79" s="1">
        <v>122.39999999999999</v>
      </c>
      <c r="G79" s="1">
        <v>115.8</v>
      </c>
      <c r="H79">
        <v>114.9</v>
      </c>
      <c r="I79">
        <v>119.7</v>
      </c>
      <c r="J79">
        <v>113.75</v>
      </c>
      <c r="K79" s="1">
        <v>116.9</v>
      </c>
      <c r="L79">
        <f>SUM(Table2[[#This Row],[Food average]:[Miscelleneous and general index]])</f>
        <v>949.37307692307695</v>
      </c>
    </row>
    <row r="80" spans="1:12" hidden="1" x14ac:dyDescent="0.25">
      <c r="A80" t="s">
        <v>28</v>
      </c>
      <c r="B80">
        <v>2015</v>
      </c>
      <c r="C80" t="s">
        <v>33</v>
      </c>
      <c r="D80" s="1">
        <v>120.88461538461539</v>
      </c>
      <c r="E80">
        <v>124.7</v>
      </c>
      <c r="F80" s="1">
        <v>124.8</v>
      </c>
      <c r="G80" s="1">
        <v>117.46666666666665</v>
      </c>
      <c r="H80">
        <v>115.5</v>
      </c>
      <c r="I80">
        <v>119.4</v>
      </c>
      <c r="J80">
        <v>114.5</v>
      </c>
      <c r="K80" s="1">
        <v>118.3</v>
      </c>
      <c r="L80">
        <f>SUM(Table2[[#This Row],[Food average]:[Miscelleneous and general index]])</f>
        <v>955.55128205128199</v>
      </c>
    </row>
    <row r="81" spans="1:12" hidden="1" x14ac:dyDescent="0.25">
      <c r="A81" t="s">
        <v>30</v>
      </c>
      <c r="B81">
        <v>2015</v>
      </c>
      <c r="C81" t="s">
        <v>33</v>
      </c>
      <c r="D81" s="1">
        <v>120.61538461538463</v>
      </c>
      <c r="E81">
        <v>128.80000000000001</v>
      </c>
      <c r="F81" s="1">
        <v>119.83333333333333</v>
      </c>
      <c r="G81" s="1">
        <v>114.85</v>
      </c>
      <c r="H81">
        <v>115.4</v>
      </c>
      <c r="I81">
        <v>120.6</v>
      </c>
      <c r="J81">
        <v>112.8</v>
      </c>
      <c r="K81" s="1">
        <v>116.44999999999999</v>
      </c>
      <c r="L81">
        <f>SUM(Table2[[#This Row],[Food average]:[Miscelleneous and general index]])</f>
        <v>949.34871794871788</v>
      </c>
    </row>
    <row r="82" spans="1:12" hidden="1" x14ac:dyDescent="0.25">
      <c r="A82" t="s">
        <v>31</v>
      </c>
      <c r="B82">
        <v>2015</v>
      </c>
      <c r="C82" t="s">
        <v>33</v>
      </c>
      <c r="D82" s="1">
        <v>120.69999999999999</v>
      </c>
      <c r="E82">
        <v>125.8</v>
      </c>
      <c r="F82" s="1">
        <v>122.8</v>
      </c>
      <c r="G82" s="1">
        <v>116.5</v>
      </c>
      <c r="H82">
        <v>115.4</v>
      </c>
      <c r="I82">
        <v>120.1</v>
      </c>
      <c r="J82">
        <v>113.85</v>
      </c>
      <c r="K82" s="1">
        <v>117.45</v>
      </c>
      <c r="L82">
        <f>SUM(Table2[[#This Row],[Food average]:[Miscelleneous and general index]])</f>
        <v>952.60000000000014</v>
      </c>
    </row>
    <row r="83" spans="1:12" hidden="1" x14ac:dyDescent="0.25">
      <c r="A83" t="s">
        <v>28</v>
      </c>
      <c r="B83">
        <v>2015</v>
      </c>
      <c r="C83" t="s">
        <v>34</v>
      </c>
      <c r="D83" s="1">
        <v>121.32307692307693</v>
      </c>
      <c r="E83">
        <v>125.7</v>
      </c>
      <c r="F83" s="1">
        <v>125.23333333333333</v>
      </c>
      <c r="G83" s="1">
        <v>118</v>
      </c>
      <c r="H83">
        <v>116.2</v>
      </c>
      <c r="I83">
        <v>119.9</v>
      </c>
      <c r="J83">
        <v>115.1</v>
      </c>
      <c r="K83" s="1">
        <v>118.75</v>
      </c>
      <c r="L83">
        <f>SUM(Table2[[#This Row],[Food average]:[Miscelleneous and general index]])</f>
        <v>960.20641025641032</v>
      </c>
    </row>
    <row r="84" spans="1:12" hidden="1" x14ac:dyDescent="0.25">
      <c r="A84" t="s">
        <v>30</v>
      </c>
      <c r="B84">
        <v>2015</v>
      </c>
      <c r="C84" t="s">
        <v>34</v>
      </c>
      <c r="D84" s="1">
        <v>121.23846153846154</v>
      </c>
      <c r="E84">
        <v>130.1</v>
      </c>
      <c r="F84" s="1">
        <v>120.2</v>
      </c>
      <c r="G84" s="1">
        <v>115.17500000000001</v>
      </c>
      <c r="H84">
        <v>115.6</v>
      </c>
      <c r="I84">
        <v>121.7</v>
      </c>
      <c r="J84">
        <v>113.19999999999999</v>
      </c>
      <c r="K84" s="1">
        <v>116.95</v>
      </c>
      <c r="L84">
        <f>SUM(Table2[[#This Row],[Food average]:[Miscelleneous and general index]])</f>
        <v>954.16346153846166</v>
      </c>
    </row>
    <row r="85" spans="1:12" hidden="1" x14ac:dyDescent="0.25">
      <c r="A85" t="s">
        <v>31</v>
      </c>
      <c r="B85">
        <v>2015</v>
      </c>
      <c r="C85" t="s">
        <v>34</v>
      </c>
      <c r="D85" s="1">
        <v>121.20769230769231</v>
      </c>
      <c r="E85">
        <v>126.9</v>
      </c>
      <c r="F85" s="1">
        <v>123.2</v>
      </c>
      <c r="G85" s="1">
        <v>116.92500000000001</v>
      </c>
      <c r="H85">
        <v>115.9</v>
      </c>
      <c r="I85">
        <v>121</v>
      </c>
      <c r="J85">
        <v>114.4</v>
      </c>
      <c r="K85" s="1">
        <v>117.9</v>
      </c>
      <c r="L85">
        <f>SUM(Table2[[#This Row],[Food average]:[Miscelleneous and general index]])</f>
        <v>957.43269230769226</v>
      </c>
    </row>
    <row r="86" spans="1:12" hidden="1" x14ac:dyDescent="0.25">
      <c r="A86" t="s">
        <v>28</v>
      </c>
      <c r="B86">
        <v>2015</v>
      </c>
      <c r="C86" t="s">
        <v>35</v>
      </c>
      <c r="D86" s="1">
        <v>122.13076923076923</v>
      </c>
      <c r="E86">
        <v>126.7</v>
      </c>
      <c r="F86" s="1">
        <v>126.06666666666666</v>
      </c>
      <c r="G86" s="1">
        <v>118.89999999999999</v>
      </c>
      <c r="H86">
        <v>116.7</v>
      </c>
      <c r="I86">
        <v>120.5</v>
      </c>
      <c r="J86">
        <v>115.85</v>
      </c>
      <c r="K86" s="1">
        <v>119.65</v>
      </c>
      <c r="L86">
        <f>SUM(Table2[[#This Row],[Food average]:[Miscelleneous and general index]])</f>
        <v>966.49743589743593</v>
      </c>
    </row>
    <row r="87" spans="1:12" hidden="1" x14ac:dyDescent="0.25">
      <c r="A87" t="s">
        <v>30</v>
      </c>
      <c r="B87">
        <v>2015</v>
      </c>
      <c r="C87" t="s">
        <v>35</v>
      </c>
      <c r="D87" s="1">
        <v>122.9923076923077</v>
      </c>
      <c r="E87">
        <v>131.30000000000001</v>
      </c>
      <c r="F87" s="1">
        <v>120.46666666666665</v>
      </c>
      <c r="G87" s="1">
        <v>116</v>
      </c>
      <c r="H87">
        <v>116</v>
      </c>
      <c r="I87">
        <v>122</v>
      </c>
      <c r="J87">
        <v>113.65</v>
      </c>
      <c r="K87" s="1">
        <v>117.95</v>
      </c>
      <c r="L87">
        <f>SUM(Table2[[#This Row],[Food average]:[Miscelleneous and general index]])</f>
        <v>960.35897435897436</v>
      </c>
    </row>
    <row r="88" spans="1:12" hidden="1" x14ac:dyDescent="0.25">
      <c r="A88" t="s">
        <v>31</v>
      </c>
      <c r="B88">
        <v>2015</v>
      </c>
      <c r="C88" t="s">
        <v>35</v>
      </c>
      <c r="D88" s="1">
        <v>122.33846153846154</v>
      </c>
      <c r="E88">
        <v>127.9</v>
      </c>
      <c r="F88" s="1">
        <v>123.8</v>
      </c>
      <c r="G88" s="1">
        <v>117.75</v>
      </c>
      <c r="H88">
        <v>116.3</v>
      </c>
      <c r="I88">
        <v>121.4</v>
      </c>
      <c r="J88">
        <v>115</v>
      </c>
      <c r="K88" s="1">
        <v>118.85</v>
      </c>
      <c r="L88">
        <f>SUM(Table2[[#This Row],[Food average]:[Miscelleneous and general index]])</f>
        <v>963.3384615384615</v>
      </c>
    </row>
    <row r="89" spans="1:12" hidden="1" x14ac:dyDescent="0.25">
      <c r="A89" t="s">
        <v>28</v>
      </c>
      <c r="B89">
        <v>2015</v>
      </c>
      <c r="C89" t="s">
        <v>36</v>
      </c>
      <c r="D89" s="1">
        <v>124.45384615384614</v>
      </c>
      <c r="E89">
        <v>128.19999999999999</v>
      </c>
      <c r="F89" s="1">
        <v>127.16666666666667</v>
      </c>
      <c r="G89" s="1">
        <v>119.86666666666666</v>
      </c>
      <c r="H89">
        <v>117.9</v>
      </c>
      <c r="I89">
        <v>122</v>
      </c>
      <c r="J89">
        <v>116.7</v>
      </c>
      <c r="K89" s="1">
        <v>121</v>
      </c>
      <c r="L89">
        <f>SUM(Table2[[#This Row],[Food average]:[Miscelleneous and general index]])</f>
        <v>977.28717948717951</v>
      </c>
    </row>
    <row r="90" spans="1:12" hidden="1" x14ac:dyDescent="0.25">
      <c r="A90" t="s">
        <v>30</v>
      </c>
      <c r="B90">
        <v>2015</v>
      </c>
      <c r="C90" t="s">
        <v>36</v>
      </c>
      <c r="D90" s="1">
        <v>125.89230769230768</v>
      </c>
      <c r="E90">
        <v>132.1</v>
      </c>
      <c r="F90" s="1">
        <v>121.03333333333335</v>
      </c>
      <c r="G90" s="1">
        <v>116.25</v>
      </c>
      <c r="H90">
        <v>116.2</v>
      </c>
      <c r="I90">
        <v>123.8</v>
      </c>
      <c r="J90">
        <v>113.95</v>
      </c>
      <c r="K90" s="1">
        <v>118.85</v>
      </c>
      <c r="L90">
        <f>SUM(Table2[[#This Row],[Food average]:[Miscelleneous and general index]])</f>
        <v>968.07564102564106</v>
      </c>
    </row>
    <row r="91" spans="1:12" hidden="1" x14ac:dyDescent="0.25">
      <c r="A91" t="s">
        <v>31</v>
      </c>
      <c r="B91">
        <v>2015</v>
      </c>
      <c r="C91" t="s">
        <v>36</v>
      </c>
      <c r="D91" s="1">
        <v>124.88461538461539</v>
      </c>
      <c r="E91">
        <v>129.19999999999999</v>
      </c>
      <c r="F91" s="1">
        <v>124.7</v>
      </c>
      <c r="G91" s="1">
        <v>118.19999999999999</v>
      </c>
      <c r="H91">
        <v>116.9</v>
      </c>
      <c r="I91">
        <v>123.1</v>
      </c>
      <c r="J91">
        <v>115.65</v>
      </c>
      <c r="K91" s="1">
        <v>120</v>
      </c>
      <c r="L91">
        <f>SUM(Table2[[#This Row],[Food average]:[Miscelleneous and general index]])</f>
        <v>972.63461538461536</v>
      </c>
    </row>
    <row r="92" spans="1:12" hidden="1" x14ac:dyDescent="0.25">
      <c r="A92" t="s">
        <v>28</v>
      </c>
      <c r="B92">
        <v>2015</v>
      </c>
      <c r="C92" t="s">
        <v>37</v>
      </c>
      <c r="D92" s="1">
        <v>125.02307692307691</v>
      </c>
      <c r="E92">
        <v>129.4</v>
      </c>
      <c r="F92" s="1">
        <v>127.53333333333335</v>
      </c>
      <c r="G92" s="1">
        <v>120.03333333333335</v>
      </c>
      <c r="H92">
        <v>118</v>
      </c>
      <c r="I92">
        <v>122.9</v>
      </c>
      <c r="J92">
        <v>116.75</v>
      </c>
      <c r="K92" s="1">
        <v>121.4</v>
      </c>
      <c r="L92">
        <f>SUM(Table2[[#This Row],[Food average]:[Miscelleneous and general index]])</f>
        <v>981.03974358974358</v>
      </c>
    </row>
    <row r="93" spans="1:12" hidden="1" x14ac:dyDescent="0.25">
      <c r="A93" t="s">
        <v>30</v>
      </c>
      <c r="B93">
        <v>2015</v>
      </c>
      <c r="C93" t="s">
        <v>37</v>
      </c>
      <c r="D93" s="1">
        <v>126.37692307692306</v>
      </c>
      <c r="E93">
        <v>133.1</v>
      </c>
      <c r="F93" s="1">
        <v>121.36666666666667</v>
      </c>
      <c r="G93" s="1">
        <v>116.55</v>
      </c>
      <c r="H93">
        <v>116.6</v>
      </c>
      <c r="I93">
        <v>125.4</v>
      </c>
      <c r="J93">
        <v>113.85</v>
      </c>
      <c r="K93" s="1">
        <v>119.35</v>
      </c>
      <c r="L93">
        <f>SUM(Table2[[#This Row],[Food average]:[Miscelleneous and general index]])</f>
        <v>972.59358974358975</v>
      </c>
    </row>
    <row r="94" spans="1:12" hidden="1" x14ac:dyDescent="0.25">
      <c r="A94" t="s">
        <v>31</v>
      </c>
      <c r="B94">
        <v>2015</v>
      </c>
      <c r="C94" t="s">
        <v>37</v>
      </c>
      <c r="D94" s="1">
        <v>125.43076923076924</v>
      </c>
      <c r="E94">
        <v>130.4</v>
      </c>
      <c r="F94" s="1">
        <v>125.03333333333335</v>
      </c>
      <c r="G94" s="1">
        <v>118.5</v>
      </c>
      <c r="H94">
        <v>117.2</v>
      </c>
      <c r="I94">
        <v>124.4</v>
      </c>
      <c r="J94">
        <v>115.65</v>
      </c>
      <c r="K94" s="1">
        <v>120.4</v>
      </c>
      <c r="L94">
        <f>SUM(Table2[[#This Row],[Food average]:[Miscelleneous and general index]])</f>
        <v>977.01410256410259</v>
      </c>
    </row>
    <row r="95" spans="1:12" hidden="1" x14ac:dyDescent="0.25">
      <c r="A95" t="s">
        <v>28</v>
      </c>
      <c r="B95">
        <v>2015</v>
      </c>
      <c r="C95" t="s">
        <v>38</v>
      </c>
      <c r="D95" s="1">
        <v>126.66153846153846</v>
      </c>
      <c r="E95">
        <v>130.1</v>
      </c>
      <c r="F95" s="1">
        <v>128.26666666666668</v>
      </c>
      <c r="G95" s="1">
        <v>120.36666666666667</v>
      </c>
      <c r="H95">
        <v>118.5</v>
      </c>
      <c r="I95">
        <v>123.6</v>
      </c>
      <c r="J95">
        <v>116.8</v>
      </c>
      <c r="K95" s="1">
        <v>122.15</v>
      </c>
      <c r="L95">
        <f>SUM(Table2[[#This Row],[Food average]:[Miscelleneous and general index]])</f>
        <v>986.4448717948718</v>
      </c>
    </row>
    <row r="96" spans="1:12" hidden="1" x14ac:dyDescent="0.25">
      <c r="A96" t="s">
        <v>30</v>
      </c>
      <c r="B96">
        <v>2015</v>
      </c>
      <c r="C96" t="s">
        <v>38</v>
      </c>
      <c r="D96" s="1">
        <v>127.6076923076923</v>
      </c>
      <c r="E96">
        <v>134.19999999999999</v>
      </c>
      <c r="F96" s="1">
        <v>121.60000000000001</v>
      </c>
      <c r="G96" s="1">
        <v>116.52500000000001</v>
      </c>
      <c r="H96">
        <v>117.2</v>
      </c>
      <c r="I96">
        <v>126.2</v>
      </c>
      <c r="J96">
        <v>114.3</v>
      </c>
      <c r="K96" s="1">
        <v>119.7</v>
      </c>
      <c r="L96">
        <f>SUM(Table2[[#This Row],[Food average]:[Miscelleneous and general index]])</f>
        <v>977.33269230769235</v>
      </c>
    </row>
    <row r="97" spans="1:12" hidden="1" x14ac:dyDescent="0.25">
      <c r="A97" t="s">
        <v>31</v>
      </c>
      <c r="B97">
        <v>2015</v>
      </c>
      <c r="C97" t="s">
        <v>38</v>
      </c>
      <c r="D97" s="1">
        <v>126.89230769230768</v>
      </c>
      <c r="E97">
        <v>131.19999999999999</v>
      </c>
      <c r="F97" s="1">
        <v>125.56666666666668</v>
      </c>
      <c r="G97" s="1">
        <v>118.8</v>
      </c>
      <c r="H97">
        <v>117.8</v>
      </c>
      <c r="I97">
        <v>125.1</v>
      </c>
      <c r="J97">
        <v>115.85</v>
      </c>
      <c r="K97" s="1">
        <v>121</v>
      </c>
      <c r="L97">
        <f>SUM(Table2[[#This Row],[Food average]:[Miscelleneous and general index]])</f>
        <v>982.20897435897439</v>
      </c>
    </row>
    <row r="98" spans="1:12" hidden="1" x14ac:dyDescent="0.25">
      <c r="A98" t="s">
        <v>28</v>
      </c>
      <c r="B98">
        <v>2015</v>
      </c>
      <c r="C98" t="s">
        <v>39</v>
      </c>
      <c r="D98" s="1">
        <v>127.50769230769232</v>
      </c>
      <c r="E98">
        <v>131</v>
      </c>
      <c r="F98" s="1">
        <v>129.03333333333333</v>
      </c>
      <c r="G98" s="1">
        <v>120.66666666666667</v>
      </c>
      <c r="H98">
        <v>119.6</v>
      </c>
      <c r="I98">
        <v>124.5</v>
      </c>
      <c r="J98">
        <v>117.55000000000001</v>
      </c>
      <c r="K98" s="1">
        <v>122.9</v>
      </c>
      <c r="L98">
        <f>SUM(Table2[[#This Row],[Food average]:[Miscelleneous and general index]])</f>
        <v>992.75769230769231</v>
      </c>
    </row>
    <row r="99" spans="1:12" hidden="1" x14ac:dyDescent="0.25">
      <c r="A99" t="s">
        <v>30</v>
      </c>
      <c r="B99">
        <v>2015</v>
      </c>
      <c r="C99" t="s">
        <v>39</v>
      </c>
      <c r="D99" s="1">
        <v>128.06153846153845</v>
      </c>
      <c r="E99">
        <v>134.69999999999999</v>
      </c>
      <c r="F99" s="1">
        <v>121.93333333333334</v>
      </c>
      <c r="G99" s="1">
        <v>116.55000000000001</v>
      </c>
      <c r="H99">
        <v>117.3</v>
      </c>
      <c r="I99">
        <v>126.5</v>
      </c>
      <c r="J99">
        <v>115</v>
      </c>
      <c r="K99" s="1">
        <v>119.85</v>
      </c>
      <c r="L99">
        <f>SUM(Table2[[#This Row],[Food average]:[Miscelleneous and general index]])</f>
        <v>979.89487179487173</v>
      </c>
    </row>
    <row r="100" spans="1:12" hidden="1" x14ac:dyDescent="0.25">
      <c r="A100" t="s">
        <v>31</v>
      </c>
      <c r="B100">
        <v>2015</v>
      </c>
      <c r="C100" t="s">
        <v>39</v>
      </c>
      <c r="D100" s="1">
        <v>127.56153846153848</v>
      </c>
      <c r="E100">
        <v>132</v>
      </c>
      <c r="F100" s="1">
        <v>126.16666666666667</v>
      </c>
      <c r="G100" s="1">
        <v>118.97500000000001</v>
      </c>
      <c r="H100">
        <v>118.3</v>
      </c>
      <c r="I100">
        <v>125.7</v>
      </c>
      <c r="J100">
        <v>116.6</v>
      </c>
      <c r="K100" s="1">
        <v>121.45</v>
      </c>
      <c r="L100">
        <f>SUM(Table2[[#This Row],[Food average]:[Miscelleneous and general index]])</f>
        <v>986.75320512820531</v>
      </c>
    </row>
    <row r="101" spans="1:12" hidden="1" x14ac:dyDescent="0.25">
      <c r="A101" t="s">
        <v>28</v>
      </c>
      <c r="B101">
        <v>2015</v>
      </c>
      <c r="C101" t="s">
        <v>40</v>
      </c>
      <c r="D101" s="1">
        <v>128.8153846153846</v>
      </c>
      <c r="E101">
        <v>131.5</v>
      </c>
      <c r="F101" s="1">
        <v>129.66666666666666</v>
      </c>
      <c r="G101" s="1">
        <v>121.10000000000001</v>
      </c>
      <c r="H101">
        <v>120.1</v>
      </c>
      <c r="I101">
        <v>125.1</v>
      </c>
      <c r="J101">
        <v>118.1</v>
      </c>
      <c r="K101" s="1">
        <v>123.45</v>
      </c>
      <c r="L101">
        <f>SUM(Table2[[#This Row],[Food average]:[Miscelleneous and general index]])</f>
        <v>997.83205128205134</v>
      </c>
    </row>
    <row r="102" spans="1:12" hidden="1" x14ac:dyDescent="0.25">
      <c r="A102" t="s">
        <v>30</v>
      </c>
      <c r="B102">
        <v>2015</v>
      </c>
      <c r="C102" t="s">
        <v>40</v>
      </c>
      <c r="D102" s="1">
        <v>130.21538461538464</v>
      </c>
      <c r="E102">
        <v>135.30000000000001</v>
      </c>
      <c r="F102" s="1">
        <v>122.26666666666665</v>
      </c>
      <c r="G102" s="1">
        <v>116.825</v>
      </c>
      <c r="H102">
        <v>117.7</v>
      </c>
      <c r="I102">
        <v>126.5</v>
      </c>
      <c r="J102">
        <v>115.6</v>
      </c>
      <c r="K102" s="1">
        <v>120.35</v>
      </c>
      <c r="L102">
        <f>SUM(Table2[[#This Row],[Food average]:[Miscelleneous and general index]])</f>
        <v>984.75705128205129</v>
      </c>
    </row>
    <row r="103" spans="1:12" hidden="1" x14ac:dyDescent="0.25">
      <c r="A103" t="s">
        <v>31</v>
      </c>
      <c r="B103">
        <v>2015</v>
      </c>
      <c r="C103" t="s">
        <v>40</v>
      </c>
      <c r="D103" s="1">
        <v>129.15384615384613</v>
      </c>
      <c r="E103">
        <v>132.5</v>
      </c>
      <c r="F103" s="1">
        <v>126.7</v>
      </c>
      <c r="G103" s="1">
        <v>119.4</v>
      </c>
      <c r="H103">
        <v>118.7</v>
      </c>
      <c r="I103">
        <v>125.9</v>
      </c>
      <c r="J103">
        <v>117.15</v>
      </c>
      <c r="K103" s="1">
        <v>122</v>
      </c>
      <c r="L103">
        <f>SUM(Table2[[#This Row],[Food average]:[Miscelleneous and general index]])</f>
        <v>991.5038461538461</v>
      </c>
    </row>
    <row r="104" spans="1:12" hidden="1" x14ac:dyDescent="0.25">
      <c r="A104" t="s">
        <v>28</v>
      </c>
      <c r="B104">
        <v>2015</v>
      </c>
      <c r="C104" t="s">
        <v>42</v>
      </c>
      <c r="D104" s="1">
        <v>129.71538461538461</v>
      </c>
      <c r="E104">
        <v>132.19999999999999</v>
      </c>
      <c r="F104" s="1">
        <v>130.6</v>
      </c>
      <c r="G104" s="1">
        <v>121.73333333333333</v>
      </c>
      <c r="H104">
        <v>120.9</v>
      </c>
      <c r="I104">
        <v>125.8</v>
      </c>
      <c r="J104">
        <v>118.4</v>
      </c>
      <c r="K104" s="1">
        <v>123.95</v>
      </c>
      <c r="L104">
        <f>SUM(Table2[[#This Row],[Food average]:[Miscelleneous and general index]])</f>
        <v>1003.2987179487179</v>
      </c>
    </row>
    <row r="105" spans="1:12" hidden="1" x14ac:dyDescent="0.25">
      <c r="A105" t="s">
        <v>30</v>
      </c>
      <c r="B105">
        <v>2015</v>
      </c>
      <c r="C105" t="s">
        <v>42</v>
      </c>
      <c r="D105" s="1">
        <v>131.42307692307691</v>
      </c>
      <c r="E105">
        <v>137.6</v>
      </c>
      <c r="F105" s="1">
        <v>122.83333333333333</v>
      </c>
      <c r="G105" s="1">
        <v>117.075</v>
      </c>
      <c r="H105">
        <v>117.9</v>
      </c>
      <c r="I105">
        <v>126.6</v>
      </c>
      <c r="J105">
        <v>115.69999999999999</v>
      </c>
      <c r="K105" s="1">
        <v>120.6</v>
      </c>
      <c r="L105">
        <f>SUM(Table2[[#This Row],[Food average]:[Miscelleneous and general index]])</f>
        <v>989.73141025641019</v>
      </c>
    </row>
    <row r="106" spans="1:12" hidden="1" x14ac:dyDescent="0.25">
      <c r="A106" t="s">
        <v>31</v>
      </c>
      <c r="B106">
        <v>2015</v>
      </c>
      <c r="C106" t="s">
        <v>42</v>
      </c>
      <c r="D106" s="1">
        <v>130.16153846153844</v>
      </c>
      <c r="E106">
        <v>133.6</v>
      </c>
      <c r="F106" s="1">
        <v>127.46666666666665</v>
      </c>
      <c r="G106" s="1">
        <v>119.85</v>
      </c>
      <c r="H106">
        <v>119.2</v>
      </c>
      <c r="I106">
        <v>126.3</v>
      </c>
      <c r="J106">
        <v>117.35</v>
      </c>
      <c r="K106" s="1">
        <v>122.35</v>
      </c>
      <c r="L106">
        <f>SUM(Table2[[#This Row],[Food average]:[Miscelleneous and general index]])</f>
        <v>996.27820512820506</v>
      </c>
    </row>
    <row r="107" spans="1:12" hidden="1" x14ac:dyDescent="0.25">
      <c r="A107" t="s">
        <v>28</v>
      </c>
      <c r="B107">
        <v>2015</v>
      </c>
      <c r="C107" t="s">
        <v>43</v>
      </c>
      <c r="D107" s="1">
        <v>129.40769230769232</v>
      </c>
      <c r="E107">
        <v>133.1</v>
      </c>
      <c r="F107" s="1">
        <v>130.96666666666667</v>
      </c>
      <c r="G107" s="1">
        <v>121.89999999999999</v>
      </c>
      <c r="H107">
        <v>121.6</v>
      </c>
      <c r="I107">
        <v>125.6</v>
      </c>
      <c r="J107">
        <v>118.6</v>
      </c>
      <c r="K107" s="1">
        <v>123.85</v>
      </c>
      <c r="L107">
        <f>SUM(Table2[[#This Row],[Food average]:[Miscelleneous and general index]])</f>
        <v>1005.0243589743591</v>
      </c>
    </row>
    <row r="108" spans="1:12" hidden="1" x14ac:dyDescent="0.25">
      <c r="A108" t="s">
        <v>30</v>
      </c>
      <c r="B108">
        <v>2015</v>
      </c>
      <c r="C108" t="s">
        <v>43</v>
      </c>
      <c r="D108" s="1">
        <v>130.67692307692306</v>
      </c>
      <c r="E108">
        <v>138.19999999999999</v>
      </c>
      <c r="F108" s="1">
        <v>123.13333333333333</v>
      </c>
      <c r="G108" s="1">
        <v>117.175</v>
      </c>
      <c r="H108">
        <v>118.1</v>
      </c>
      <c r="I108">
        <v>126.6</v>
      </c>
      <c r="J108">
        <v>115.9</v>
      </c>
      <c r="K108" s="1">
        <v>120.35</v>
      </c>
      <c r="L108">
        <f>SUM(Table2[[#This Row],[Food average]:[Miscelleneous and general index]])</f>
        <v>990.13525641025637</v>
      </c>
    </row>
    <row r="109" spans="1:12" hidden="1" x14ac:dyDescent="0.25">
      <c r="A109" t="s">
        <v>31</v>
      </c>
      <c r="B109">
        <v>2015</v>
      </c>
      <c r="C109" t="s">
        <v>43</v>
      </c>
      <c r="D109" s="1">
        <v>129.70000000000002</v>
      </c>
      <c r="E109">
        <v>134.5</v>
      </c>
      <c r="F109" s="1">
        <v>127.83333333333333</v>
      </c>
      <c r="G109" s="1">
        <v>119.875</v>
      </c>
      <c r="H109">
        <v>119.6</v>
      </c>
      <c r="I109">
        <v>126.2</v>
      </c>
      <c r="J109">
        <v>117.55000000000001</v>
      </c>
      <c r="K109" s="1">
        <v>122.19999999999999</v>
      </c>
      <c r="L109">
        <f>SUM(Table2[[#This Row],[Food average]:[Miscelleneous and general index]])</f>
        <v>997.45833333333348</v>
      </c>
    </row>
    <row r="110" spans="1:12" hidden="1" x14ac:dyDescent="0.25">
      <c r="A110" t="s">
        <v>28</v>
      </c>
      <c r="B110">
        <v>2016</v>
      </c>
      <c r="C110" t="s">
        <v>29</v>
      </c>
      <c r="D110" s="1">
        <v>130.00769230769231</v>
      </c>
      <c r="E110">
        <v>133.6</v>
      </c>
      <c r="F110" s="1">
        <v>131.56666666666669</v>
      </c>
      <c r="G110" s="1">
        <v>122.13333333333333</v>
      </c>
      <c r="H110">
        <v>121.4</v>
      </c>
      <c r="I110">
        <v>126.2</v>
      </c>
      <c r="J110">
        <v>119.30000000000001</v>
      </c>
      <c r="K110" s="1">
        <v>124.1</v>
      </c>
      <c r="L110">
        <f>SUM(Table2[[#This Row],[Food average]:[Miscelleneous and general index]])</f>
        <v>1008.3076923076925</v>
      </c>
    </row>
    <row r="111" spans="1:12" hidden="1" x14ac:dyDescent="0.25">
      <c r="A111" t="s">
        <v>30</v>
      </c>
      <c r="B111">
        <v>2016</v>
      </c>
      <c r="C111" t="s">
        <v>29</v>
      </c>
      <c r="D111" s="1">
        <v>130.87692307692308</v>
      </c>
      <c r="E111">
        <v>139.5</v>
      </c>
      <c r="F111" s="1">
        <v>123.5</v>
      </c>
      <c r="G111" s="1">
        <v>117.69999999999999</v>
      </c>
      <c r="H111">
        <v>118.5</v>
      </c>
      <c r="I111">
        <v>126.4</v>
      </c>
      <c r="J111">
        <v>116.55</v>
      </c>
      <c r="K111" s="1">
        <v>120.5</v>
      </c>
      <c r="L111">
        <f>SUM(Table2[[#This Row],[Food average]:[Miscelleneous and general index]])</f>
        <v>993.52692307692303</v>
      </c>
    </row>
    <row r="112" spans="1:12" hidden="1" x14ac:dyDescent="0.25">
      <c r="A112" t="s">
        <v>31</v>
      </c>
      <c r="B112">
        <v>2016</v>
      </c>
      <c r="C112" t="s">
        <v>29</v>
      </c>
      <c r="D112" s="1">
        <v>130.13076923076923</v>
      </c>
      <c r="E112">
        <v>135.19999999999999</v>
      </c>
      <c r="F112" s="1">
        <v>128.29999999999998</v>
      </c>
      <c r="G112" s="1">
        <v>120.35</v>
      </c>
      <c r="H112">
        <v>119.8</v>
      </c>
      <c r="I112">
        <v>126.3</v>
      </c>
      <c r="J112">
        <v>118.25</v>
      </c>
      <c r="K112" s="1">
        <v>122.4</v>
      </c>
      <c r="L112">
        <f>SUM(Table2[[#This Row],[Food average]:[Miscelleneous and general index]])</f>
        <v>1000.7307692307691</v>
      </c>
    </row>
    <row r="113" spans="1:12" hidden="1" x14ac:dyDescent="0.25">
      <c r="A113" t="s">
        <v>28</v>
      </c>
      <c r="B113">
        <v>2016</v>
      </c>
      <c r="C113" t="s">
        <v>32</v>
      </c>
      <c r="D113" s="1">
        <v>129.43076923076922</v>
      </c>
      <c r="E113">
        <v>134.4</v>
      </c>
      <c r="F113" s="1">
        <v>132.36666666666667</v>
      </c>
      <c r="G113" s="1">
        <v>122.83333333333333</v>
      </c>
      <c r="H113">
        <v>122.3</v>
      </c>
      <c r="I113">
        <v>127.1</v>
      </c>
      <c r="J113">
        <v>120.55</v>
      </c>
      <c r="K113" s="1">
        <v>124.4</v>
      </c>
      <c r="L113">
        <f>SUM(Table2[[#This Row],[Food average]:[Miscelleneous and general index]])</f>
        <v>1013.3807692307691</v>
      </c>
    </row>
    <row r="114" spans="1:12" hidden="1" x14ac:dyDescent="0.25">
      <c r="A114" t="s">
        <v>30</v>
      </c>
      <c r="B114">
        <v>2016</v>
      </c>
      <c r="C114" t="s">
        <v>32</v>
      </c>
      <c r="D114" s="1">
        <v>128.93076923076922</v>
      </c>
      <c r="E114">
        <v>140</v>
      </c>
      <c r="F114" s="1">
        <v>123.86666666666667</v>
      </c>
      <c r="G114" s="1">
        <v>117.82499999999999</v>
      </c>
      <c r="H114">
        <v>118.8</v>
      </c>
      <c r="I114">
        <v>126.3</v>
      </c>
      <c r="J114">
        <v>117.85</v>
      </c>
      <c r="K114" s="1">
        <v>120.5</v>
      </c>
      <c r="L114">
        <f>SUM(Table2[[#This Row],[Food average]:[Miscelleneous and general index]])</f>
        <v>994.07243589743587</v>
      </c>
    </row>
    <row r="115" spans="1:12" hidden="1" x14ac:dyDescent="0.25">
      <c r="A115" t="s">
        <v>31</v>
      </c>
      <c r="B115">
        <v>2016</v>
      </c>
      <c r="C115" t="s">
        <v>32</v>
      </c>
      <c r="D115" s="1">
        <v>129.08461538461538</v>
      </c>
      <c r="E115">
        <v>135.9</v>
      </c>
      <c r="F115" s="1">
        <v>128.96666666666667</v>
      </c>
      <c r="G115" s="1">
        <v>120.875</v>
      </c>
      <c r="H115">
        <v>120.3</v>
      </c>
      <c r="I115">
        <v>126.6</v>
      </c>
      <c r="J115">
        <v>119.55</v>
      </c>
      <c r="K115" s="1">
        <v>122.55</v>
      </c>
      <c r="L115">
        <f>SUM(Table2[[#This Row],[Food average]:[Miscelleneous and general index]])</f>
        <v>1003.826282051282</v>
      </c>
    </row>
    <row r="116" spans="1:12" hidden="1" x14ac:dyDescent="0.25">
      <c r="A116" t="s">
        <v>28</v>
      </c>
      <c r="B116">
        <v>2016</v>
      </c>
      <c r="C116" t="s">
        <v>33</v>
      </c>
      <c r="D116" s="1">
        <v>129.43846153846155</v>
      </c>
      <c r="E116">
        <v>135</v>
      </c>
      <c r="F116" s="1">
        <v>132.80000000000001</v>
      </c>
      <c r="G116" s="1">
        <v>122.76666666666665</v>
      </c>
      <c r="H116">
        <v>122.5</v>
      </c>
      <c r="I116">
        <v>127.5</v>
      </c>
      <c r="J116">
        <v>121.1</v>
      </c>
      <c r="K116" s="1">
        <v>124.55</v>
      </c>
      <c r="L116">
        <f>SUM(Table2[[#This Row],[Food average]:[Miscelleneous and general index]])</f>
        <v>1015.6551282051281</v>
      </c>
    </row>
    <row r="117" spans="1:12" hidden="1" x14ac:dyDescent="0.25">
      <c r="A117" t="s">
        <v>30</v>
      </c>
      <c r="B117">
        <v>2016</v>
      </c>
      <c r="C117" t="s">
        <v>33</v>
      </c>
      <c r="D117" s="1">
        <v>128.27692307692308</v>
      </c>
      <c r="E117">
        <v>140.6</v>
      </c>
      <c r="F117" s="1">
        <v>124.06666666666666</v>
      </c>
      <c r="G117" s="1">
        <v>117.625</v>
      </c>
      <c r="H117">
        <v>119.1</v>
      </c>
      <c r="I117">
        <v>126.4</v>
      </c>
      <c r="J117">
        <v>118.4</v>
      </c>
      <c r="K117" s="1">
        <v>120.55</v>
      </c>
      <c r="L117">
        <f>SUM(Table2[[#This Row],[Food average]:[Miscelleneous and general index]])</f>
        <v>995.01858974358959</v>
      </c>
    </row>
    <row r="118" spans="1:12" hidden="1" x14ac:dyDescent="0.25">
      <c r="A118" t="s">
        <v>31</v>
      </c>
      <c r="B118">
        <v>2016</v>
      </c>
      <c r="C118" t="s">
        <v>33</v>
      </c>
      <c r="D118" s="1">
        <v>128.86153846153846</v>
      </c>
      <c r="E118">
        <v>136.5</v>
      </c>
      <c r="F118" s="1">
        <v>129.29999999999998</v>
      </c>
      <c r="G118" s="1">
        <v>120.82499999999999</v>
      </c>
      <c r="H118">
        <v>120.6</v>
      </c>
      <c r="I118">
        <v>126.9</v>
      </c>
      <c r="J118">
        <v>120.1</v>
      </c>
      <c r="K118" s="1">
        <v>122.65</v>
      </c>
      <c r="L118">
        <f>SUM(Table2[[#This Row],[Food average]:[Miscelleneous and general index]])</f>
        <v>1005.7365384615384</v>
      </c>
    </row>
    <row r="119" spans="1:12" hidden="1" x14ac:dyDescent="0.25">
      <c r="A119" t="s">
        <v>28</v>
      </c>
      <c r="B119">
        <v>2016</v>
      </c>
      <c r="C119" t="s">
        <v>34</v>
      </c>
      <c r="D119" s="1">
        <v>130.89230769230772</v>
      </c>
      <c r="E119">
        <v>135.5</v>
      </c>
      <c r="F119" s="1">
        <v>133.33333333333334</v>
      </c>
      <c r="G119" s="1">
        <v>123.13333333333333</v>
      </c>
      <c r="H119">
        <v>123.2</v>
      </c>
      <c r="I119">
        <v>127.9</v>
      </c>
      <c r="J119">
        <v>121.80000000000001</v>
      </c>
      <c r="K119" s="1">
        <v>125.35</v>
      </c>
      <c r="L119">
        <f>SUM(Table2[[#This Row],[Food average]:[Miscelleneous and general index]])</f>
        <v>1021.1089743589745</v>
      </c>
    </row>
    <row r="120" spans="1:12" hidden="1" x14ac:dyDescent="0.25">
      <c r="A120" t="s">
        <v>30</v>
      </c>
      <c r="B120">
        <v>2016</v>
      </c>
      <c r="C120" t="s">
        <v>34</v>
      </c>
      <c r="D120" s="1">
        <v>131.25384615384615</v>
      </c>
      <c r="E120">
        <v>141.5</v>
      </c>
      <c r="F120" s="1">
        <v>124.36666666666667</v>
      </c>
      <c r="G120" s="1">
        <v>118.25</v>
      </c>
      <c r="H120">
        <v>119.5</v>
      </c>
      <c r="I120">
        <v>127.6</v>
      </c>
      <c r="J120">
        <v>118.8</v>
      </c>
      <c r="K120" s="1">
        <v>121.75</v>
      </c>
      <c r="L120">
        <f>SUM(Table2[[#This Row],[Food average]:[Miscelleneous and general index]])</f>
        <v>1003.0205128205129</v>
      </c>
    </row>
    <row r="121" spans="1:12" hidden="1" x14ac:dyDescent="0.25">
      <c r="A121" t="s">
        <v>31</v>
      </c>
      <c r="B121">
        <v>2016</v>
      </c>
      <c r="C121" t="s">
        <v>34</v>
      </c>
      <c r="D121" s="1">
        <v>130.86923076923077</v>
      </c>
      <c r="E121">
        <v>137.1</v>
      </c>
      <c r="F121" s="1">
        <v>129.73333333333335</v>
      </c>
      <c r="G121" s="1">
        <v>121.375</v>
      </c>
      <c r="H121">
        <v>121.1</v>
      </c>
      <c r="I121">
        <v>127.7</v>
      </c>
      <c r="J121">
        <v>120.65</v>
      </c>
      <c r="K121" s="1">
        <v>123.65</v>
      </c>
      <c r="L121">
        <f>SUM(Table2[[#This Row],[Food average]:[Miscelleneous and general index]])</f>
        <v>1012.1775641025641</v>
      </c>
    </row>
    <row r="122" spans="1:12" hidden="1" x14ac:dyDescent="0.25">
      <c r="A122" t="s">
        <v>28</v>
      </c>
      <c r="B122">
        <v>2016</v>
      </c>
      <c r="C122" t="s">
        <v>35</v>
      </c>
      <c r="D122" s="1">
        <v>132.59230769230768</v>
      </c>
      <c r="E122">
        <v>136</v>
      </c>
      <c r="F122" s="1">
        <v>133.76666666666668</v>
      </c>
      <c r="G122" s="1">
        <v>123.66666666666667</v>
      </c>
      <c r="H122">
        <v>123.6</v>
      </c>
      <c r="I122">
        <v>129.1</v>
      </c>
      <c r="J122">
        <v>122.75</v>
      </c>
      <c r="K122" s="1">
        <v>126.4</v>
      </c>
      <c r="L122">
        <f>SUM(Table2[[#This Row],[Food average]:[Miscelleneous and general index]])</f>
        <v>1027.875641025641</v>
      </c>
    </row>
    <row r="123" spans="1:12" hidden="1" x14ac:dyDescent="0.25">
      <c r="A123" t="s">
        <v>30</v>
      </c>
      <c r="B123">
        <v>2016</v>
      </c>
      <c r="C123" t="s">
        <v>35</v>
      </c>
      <c r="D123" s="1">
        <v>134.36923076923074</v>
      </c>
      <c r="E123">
        <v>142.19999999999999</v>
      </c>
      <c r="F123" s="1">
        <v>124.7</v>
      </c>
      <c r="G123" s="1">
        <v>118.72499999999999</v>
      </c>
      <c r="H123">
        <v>119.8</v>
      </c>
      <c r="I123">
        <v>128</v>
      </c>
      <c r="J123">
        <v>119.4</v>
      </c>
      <c r="K123" s="1">
        <v>122.65</v>
      </c>
      <c r="L123">
        <f>SUM(Table2[[#This Row],[Food average]:[Miscelleneous and general index]])</f>
        <v>1009.8442307692306</v>
      </c>
    </row>
    <row r="124" spans="1:12" hidden="1" x14ac:dyDescent="0.25">
      <c r="A124" t="s">
        <v>31</v>
      </c>
      <c r="B124">
        <v>2016</v>
      </c>
      <c r="C124" t="s">
        <v>35</v>
      </c>
      <c r="D124" s="1">
        <v>133.1076923076923</v>
      </c>
      <c r="E124">
        <v>137.69999999999999</v>
      </c>
      <c r="F124" s="1">
        <v>130.13333333333333</v>
      </c>
      <c r="G124" s="1">
        <v>121.875</v>
      </c>
      <c r="H124">
        <v>121.5</v>
      </c>
      <c r="I124">
        <v>128.5</v>
      </c>
      <c r="J124">
        <v>121.45</v>
      </c>
      <c r="K124" s="1">
        <v>124.65</v>
      </c>
      <c r="L124">
        <f>SUM(Table2[[#This Row],[Food average]:[Miscelleneous and general index]])</f>
        <v>1018.9160256410256</v>
      </c>
    </row>
    <row r="125" spans="1:12" hidden="1" x14ac:dyDescent="0.25">
      <c r="A125" t="s">
        <v>28</v>
      </c>
      <c r="B125">
        <v>2016</v>
      </c>
      <c r="C125" t="s">
        <v>36</v>
      </c>
      <c r="D125" s="1">
        <v>134.50769230769231</v>
      </c>
      <c r="E125">
        <v>137.19999999999999</v>
      </c>
      <c r="F125" s="1">
        <v>134.5</v>
      </c>
      <c r="G125" s="1">
        <v>124.53333333333335</v>
      </c>
      <c r="H125">
        <v>124.1</v>
      </c>
      <c r="I125">
        <v>130.19999999999999</v>
      </c>
      <c r="J125">
        <v>123.05000000000001</v>
      </c>
      <c r="K125" s="1">
        <v>127.6</v>
      </c>
      <c r="L125">
        <f>SUM(Table2[[#This Row],[Food average]:[Miscelleneous and general index]])</f>
        <v>1035.6910256410256</v>
      </c>
    </row>
    <row r="126" spans="1:12" hidden="1" x14ac:dyDescent="0.25">
      <c r="A126" t="s">
        <v>30</v>
      </c>
      <c r="B126">
        <v>2016</v>
      </c>
      <c r="C126" t="s">
        <v>36</v>
      </c>
      <c r="D126" s="1">
        <v>137.46153846153848</v>
      </c>
      <c r="E126">
        <v>142.69999999999999</v>
      </c>
      <c r="F126" s="1">
        <v>125.09999999999998</v>
      </c>
      <c r="G126" s="1">
        <v>119.125</v>
      </c>
      <c r="H126">
        <v>119.9</v>
      </c>
      <c r="I126">
        <v>129.30000000000001</v>
      </c>
      <c r="J126">
        <v>119.69999999999999</v>
      </c>
      <c r="K126" s="1">
        <v>123.85</v>
      </c>
      <c r="L126">
        <f>SUM(Table2[[#This Row],[Food average]:[Miscelleneous and general index]])</f>
        <v>1017.1365384615386</v>
      </c>
    </row>
    <row r="127" spans="1:12" hidden="1" x14ac:dyDescent="0.25">
      <c r="A127" t="s">
        <v>31</v>
      </c>
      <c r="B127">
        <v>2016</v>
      </c>
      <c r="C127" t="s">
        <v>36</v>
      </c>
      <c r="D127" s="1">
        <v>135.43076923076922</v>
      </c>
      <c r="E127">
        <v>138.69999999999999</v>
      </c>
      <c r="F127" s="1">
        <v>130.70000000000002</v>
      </c>
      <c r="G127" s="1">
        <v>122.35000000000001</v>
      </c>
      <c r="H127">
        <v>121.7</v>
      </c>
      <c r="I127">
        <v>129.69999999999999</v>
      </c>
      <c r="J127">
        <v>121.75</v>
      </c>
      <c r="K127" s="1">
        <v>125.8</v>
      </c>
      <c r="L127">
        <f>SUM(Table2[[#This Row],[Food average]:[Miscelleneous and general index]])</f>
        <v>1026.1307692307691</v>
      </c>
    </row>
    <row r="128" spans="1:12" hidden="1" x14ac:dyDescent="0.25">
      <c r="A128" t="s">
        <v>28</v>
      </c>
      <c r="B128">
        <v>2016</v>
      </c>
      <c r="C128" t="s">
        <v>37</v>
      </c>
      <c r="D128" s="1">
        <v>136.17692307692306</v>
      </c>
      <c r="E128">
        <v>138</v>
      </c>
      <c r="F128" s="1">
        <v>135.29999999999998</v>
      </c>
      <c r="G128" s="1">
        <v>124.86666666666667</v>
      </c>
      <c r="H128">
        <v>125.2</v>
      </c>
      <c r="I128">
        <v>130.80000000000001</v>
      </c>
      <c r="J128">
        <v>123.80000000000001</v>
      </c>
      <c r="K128" s="1">
        <v>128.4</v>
      </c>
      <c r="L128">
        <f>SUM(Table2[[#This Row],[Food average]:[Miscelleneous and general index]])</f>
        <v>1042.5435897435898</v>
      </c>
    </row>
    <row r="129" spans="1:12" hidden="1" x14ac:dyDescent="0.25">
      <c r="A129" t="s">
        <v>30</v>
      </c>
      <c r="B129">
        <v>2016</v>
      </c>
      <c r="C129" t="s">
        <v>37</v>
      </c>
      <c r="D129" s="1">
        <v>139.34615384615387</v>
      </c>
      <c r="E129">
        <v>142.9</v>
      </c>
      <c r="F129" s="1">
        <v>125.3</v>
      </c>
      <c r="G129" s="1">
        <v>119.27499999999999</v>
      </c>
      <c r="H129">
        <v>120.3</v>
      </c>
      <c r="I129">
        <v>130.80000000000001</v>
      </c>
      <c r="J129">
        <v>120.45</v>
      </c>
      <c r="K129" s="1">
        <v>124.45</v>
      </c>
      <c r="L129">
        <f>SUM(Table2[[#This Row],[Food average]:[Miscelleneous and general index]])</f>
        <v>1022.8211538461539</v>
      </c>
    </row>
    <row r="130" spans="1:12" hidden="1" x14ac:dyDescent="0.25">
      <c r="A130" t="s">
        <v>31</v>
      </c>
      <c r="B130">
        <v>2016</v>
      </c>
      <c r="C130" t="s">
        <v>37</v>
      </c>
      <c r="D130" s="1">
        <v>137.19230769230768</v>
      </c>
      <c r="E130">
        <v>139.30000000000001</v>
      </c>
      <c r="F130" s="1">
        <v>131.26666666666668</v>
      </c>
      <c r="G130" s="1">
        <v>122.65</v>
      </c>
      <c r="H130">
        <v>122.4</v>
      </c>
      <c r="I130">
        <v>130.80000000000001</v>
      </c>
      <c r="J130">
        <v>122.5</v>
      </c>
      <c r="K130" s="1">
        <v>126.5</v>
      </c>
      <c r="L130">
        <f>SUM(Table2[[#This Row],[Food average]:[Miscelleneous and general index]])</f>
        <v>1032.6089743589744</v>
      </c>
    </row>
    <row r="131" spans="1:12" hidden="1" x14ac:dyDescent="0.25">
      <c r="A131" t="s">
        <v>28</v>
      </c>
      <c r="B131">
        <v>2016</v>
      </c>
      <c r="C131" t="s">
        <v>38</v>
      </c>
      <c r="D131" s="1">
        <v>136.73076923076923</v>
      </c>
      <c r="E131">
        <v>138.9</v>
      </c>
      <c r="F131" s="1">
        <v>135.96666666666667</v>
      </c>
      <c r="G131" s="1">
        <v>125.23333333333333</v>
      </c>
      <c r="H131">
        <v>125.5</v>
      </c>
      <c r="I131">
        <v>131.9</v>
      </c>
      <c r="J131">
        <v>124.5</v>
      </c>
      <c r="K131" s="1">
        <v>128.85</v>
      </c>
      <c r="L131">
        <f>SUM(Table2[[#This Row],[Food average]:[Miscelleneous and general index]])</f>
        <v>1047.5807692307692</v>
      </c>
    </row>
    <row r="132" spans="1:12" hidden="1" x14ac:dyDescent="0.25">
      <c r="A132" t="s">
        <v>30</v>
      </c>
      <c r="B132">
        <v>2016</v>
      </c>
      <c r="C132" t="s">
        <v>38</v>
      </c>
      <c r="D132" s="1">
        <v>137.2307692307692</v>
      </c>
      <c r="E132">
        <v>143.6</v>
      </c>
      <c r="F132" s="1">
        <v>125.66666666666667</v>
      </c>
      <c r="G132" s="1">
        <v>119.07499999999999</v>
      </c>
      <c r="H132">
        <v>120.6</v>
      </c>
      <c r="I132">
        <v>131.5</v>
      </c>
      <c r="J132">
        <v>121.05000000000001</v>
      </c>
      <c r="K132" s="1">
        <v>124.15</v>
      </c>
      <c r="L132">
        <f>SUM(Table2[[#This Row],[Food average]:[Miscelleneous and general index]])</f>
        <v>1022.8724358974358</v>
      </c>
    </row>
    <row r="133" spans="1:12" hidden="1" x14ac:dyDescent="0.25">
      <c r="A133" t="s">
        <v>31</v>
      </c>
      <c r="B133">
        <v>2016</v>
      </c>
      <c r="C133" t="s">
        <v>38</v>
      </c>
      <c r="D133" s="1">
        <v>136.76153846153846</v>
      </c>
      <c r="E133">
        <v>140.19999999999999</v>
      </c>
      <c r="F133" s="1">
        <v>131.83333333333331</v>
      </c>
      <c r="G133" s="1">
        <v>122.85</v>
      </c>
      <c r="H133">
        <v>122.7</v>
      </c>
      <c r="I133">
        <v>131.69999999999999</v>
      </c>
      <c r="J133">
        <v>123.15</v>
      </c>
      <c r="K133" s="1">
        <v>126.6</v>
      </c>
      <c r="L133">
        <f>SUM(Table2[[#This Row],[Food average]:[Miscelleneous and general index]])</f>
        <v>1035.7948717948718</v>
      </c>
    </row>
    <row r="134" spans="1:12" hidden="1" x14ac:dyDescent="0.25">
      <c r="A134" t="s">
        <v>28</v>
      </c>
      <c r="B134">
        <v>2016</v>
      </c>
      <c r="C134" t="s">
        <v>39</v>
      </c>
      <c r="D134" s="1">
        <v>136.2076923076923</v>
      </c>
      <c r="E134">
        <v>139.9</v>
      </c>
      <c r="F134" s="1">
        <v>136.6</v>
      </c>
      <c r="G134" s="1">
        <v>125.93333333333332</v>
      </c>
      <c r="H134">
        <v>125.7</v>
      </c>
      <c r="I134">
        <v>132.19999999999999</v>
      </c>
      <c r="J134">
        <v>125.3</v>
      </c>
      <c r="K134" s="1">
        <v>129.15</v>
      </c>
      <c r="L134">
        <f>SUM(Table2[[#This Row],[Food average]:[Miscelleneous and general index]])</f>
        <v>1050.9910256410258</v>
      </c>
    </row>
    <row r="135" spans="1:12" hidden="1" x14ac:dyDescent="0.25">
      <c r="A135" t="s">
        <v>30</v>
      </c>
      <c r="B135">
        <v>2016</v>
      </c>
      <c r="C135" t="s">
        <v>39</v>
      </c>
      <c r="D135" s="1">
        <v>135.10769230769228</v>
      </c>
      <c r="E135">
        <v>143.9</v>
      </c>
      <c r="F135" s="1">
        <v>126</v>
      </c>
      <c r="G135" s="1">
        <v>119.7</v>
      </c>
      <c r="H135">
        <v>120.8</v>
      </c>
      <c r="I135">
        <v>131.6</v>
      </c>
      <c r="J135">
        <v>121.30000000000001</v>
      </c>
      <c r="K135" s="1">
        <v>124.25</v>
      </c>
      <c r="L135">
        <f>SUM(Table2[[#This Row],[Food average]:[Miscelleneous and general index]])</f>
        <v>1022.6576923076923</v>
      </c>
    </row>
    <row r="136" spans="1:12" hidden="1" x14ac:dyDescent="0.25">
      <c r="A136" t="s">
        <v>31</v>
      </c>
      <c r="B136">
        <v>2016</v>
      </c>
      <c r="C136" t="s">
        <v>39</v>
      </c>
      <c r="D136" s="1">
        <v>135.66923076923075</v>
      </c>
      <c r="E136">
        <v>141</v>
      </c>
      <c r="F136" s="1">
        <v>132.33333333333334</v>
      </c>
      <c r="G136" s="1">
        <v>123.55</v>
      </c>
      <c r="H136">
        <v>122.9</v>
      </c>
      <c r="I136">
        <v>131.80000000000001</v>
      </c>
      <c r="J136">
        <v>123.75</v>
      </c>
      <c r="K136" s="1">
        <v>126.85</v>
      </c>
      <c r="L136">
        <f>SUM(Table2[[#This Row],[Food average]:[Miscelleneous and general index]])</f>
        <v>1037.852564102564</v>
      </c>
    </row>
    <row r="137" spans="1:12" hidden="1" x14ac:dyDescent="0.25">
      <c r="A137" t="s">
        <v>28</v>
      </c>
      <c r="B137">
        <v>2016</v>
      </c>
      <c r="C137" t="s">
        <v>40</v>
      </c>
      <c r="D137" s="1">
        <v>136.2923076923077</v>
      </c>
      <c r="E137">
        <v>140.9</v>
      </c>
      <c r="F137" s="1">
        <v>137.56666666666666</v>
      </c>
      <c r="G137" s="1">
        <v>126.46666666666668</v>
      </c>
      <c r="H137">
        <v>126.5</v>
      </c>
      <c r="I137">
        <v>133</v>
      </c>
      <c r="J137">
        <v>125.85</v>
      </c>
      <c r="K137" s="1">
        <v>129.75</v>
      </c>
      <c r="L137">
        <f>SUM(Table2[[#This Row],[Food average]:[Miscelleneous and general index]])</f>
        <v>1056.3256410256411</v>
      </c>
    </row>
    <row r="138" spans="1:12" hidden="1" x14ac:dyDescent="0.25">
      <c r="A138" t="s">
        <v>30</v>
      </c>
      <c r="B138">
        <v>2016</v>
      </c>
      <c r="C138" t="s">
        <v>40</v>
      </c>
      <c r="D138" s="1">
        <v>135.6076923076923</v>
      </c>
      <c r="E138">
        <v>144.30000000000001</v>
      </c>
      <c r="F138" s="1">
        <v>126.33333333333333</v>
      </c>
      <c r="G138" s="1">
        <v>120.3</v>
      </c>
      <c r="H138">
        <v>121.2</v>
      </c>
      <c r="I138">
        <v>131.9</v>
      </c>
      <c r="J138">
        <v>121.3</v>
      </c>
      <c r="K138" s="1">
        <v>124.75</v>
      </c>
      <c r="L138">
        <f>SUM(Table2[[#This Row],[Food average]:[Miscelleneous and general index]])</f>
        <v>1025.6910256410256</v>
      </c>
    </row>
    <row r="139" spans="1:12" hidden="1" x14ac:dyDescent="0.25">
      <c r="A139" t="s">
        <v>31</v>
      </c>
      <c r="B139">
        <v>2016</v>
      </c>
      <c r="C139" t="s">
        <v>40</v>
      </c>
      <c r="D139" s="1">
        <v>135.90769230769226</v>
      </c>
      <c r="E139">
        <v>141.80000000000001</v>
      </c>
      <c r="F139" s="1">
        <v>133.03333333333333</v>
      </c>
      <c r="G139" s="1">
        <v>124.14999999999999</v>
      </c>
      <c r="H139">
        <v>123.5</v>
      </c>
      <c r="I139">
        <v>132.4</v>
      </c>
      <c r="J139">
        <v>124.1</v>
      </c>
      <c r="K139" s="1">
        <v>127.4</v>
      </c>
      <c r="L139">
        <f>SUM(Table2[[#This Row],[Food average]:[Miscelleneous and general index]])</f>
        <v>1042.2910256410255</v>
      </c>
    </row>
    <row r="140" spans="1:12" hidden="1" x14ac:dyDescent="0.25">
      <c r="A140" t="s">
        <v>28</v>
      </c>
      <c r="B140">
        <v>2016</v>
      </c>
      <c r="C140" t="s">
        <v>42</v>
      </c>
      <c r="D140" s="1">
        <v>135.73846153846154</v>
      </c>
      <c r="E140">
        <v>141.19999999999999</v>
      </c>
      <c r="F140" s="1">
        <v>137.86666666666665</v>
      </c>
      <c r="G140" s="1">
        <v>126.86666666666666</v>
      </c>
      <c r="H140">
        <v>126.9</v>
      </c>
      <c r="I140">
        <v>133.69999999999999</v>
      </c>
      <c r="J140">
        <v>126.3</v>
      </c>
      <c r="K140" s="1">
        <v>129.85</v>
      </c>
      <c r="L140">
        <f>SUM(Table2[[#This Row],[Food average]:[Miscelleneous and general index]])</f>
        <v>1058.4217948717946</v>
      </c>
    </row>
    <row r="141" spans="1:12" hidden="1" x14ac:dyDescent="0.25">
      <c r="A141" t="s">
        <v>30</v>
      </c>
      <c r="B141">
        <v>2016</v>
      </c>
      <c r="C141" t="s">
        <v>42</v>
      </c>
      <c r="D141" s="1">
        <v>135.01538461538462</v>
      </c>
      <c r="E141">
        <v>144.30000000000001</v>
      </c>
      <c r="F141" s="1">
        <v>126.73333333333333</v>
      </c>
      <c r="G141" s="1">
        <v>120.85</v>
      </c>
      <c r="H141">
        <v>121.7</v>
      </c>
      <c r="I141">
        <v>132.1</v>
      </c>
      <c r="J141">
        <v>121.69999999999999</v>
      </c>
      <c r="K141" s="1">
        <v>124.9</v>
      </c>
      <c r="L141">
        <f>SUM(Table2[[#This Row],[Food average]:[Miscelleneous and general index]])</f>
        <v>1027.2987179487181</v>
      </c>
    </row>
    <row r="142" spans="1:12" hidden="1" x14ac:dyDescent="0.25">
      <c r="A142" t="s">
        <v>31</v>
      </c>
      <c r="B142">
        <v>2016</v>
      </c>
      <c r="C142" t="s">
        <v>42</v>
      </c>
      <c r="D142" s="1">
        <v>135.36923076923077</v>
      </c>
      <c r="E142">
        <v>142</v>
      </c>
      <c r="F142" s="1">
        <v>133.36666666666667</v>
      </c>
      <c r="G142" s="1">
        <v>124.6</v>
      </c>
      <c r="H142">
        <v>124</v>
      </c>
      <c r="I142">
        <v>132.80000000000001</v>
      </c>
      <c r="J142">
        <v>124.5</v>
      </c>
      <c r="K142" s="1">
        <v>127.5</v>
      </c>
      <c r="L142">
        <f>SUM(Table2[[#This Row],[Food average]:[Miscelleneous and general index]])</f>
        <v>1044.1358974358975</v>
      </c>
    </row>
    <row r="143" spans="1:12" hidden="1" x14ac:dyDescent="0.25">
      <c r="A143" t="s">
        <v>28</v>
      </c>
      <c r="B143">
        <v>2016</v>
      </c>
      <c r="C143" t="s">
        <v>43</v>
      </c>
      <c r="D143" s="1">
        <v>134.54615384615383</v>
      </c>
      <c r="E143">
        <v>142.4</v>
      </c>
      <c r="F143" s="1">
        <v>138.43333333333334</v>
      </c>
      <c r="G143" s="1">
        <v>127.83333333333333</v>
      </c>
      <c r="H143">
        <v>127.3</v>
      </c>
      <c r="I143">
        <v>134.19999999999999</v>
      </c>
      <c r="J143">
        <v>125.8</v>
      </c>
      <c r="K143" s="1">
        <v>129.55000000000001</v>
      </c>
      <c r="L143">
        <f>SUM(Table2[[#This Row],[Food average]:[Miscelleneous and general index]])</f>
        <v>1060.0628205128203</v>
      </c>
    </row>
    <row r="144" spans="1:12" hidden="1" x14ac:dyDescent="0.25">
      <c r="A144" t="s">
        <v>30</v>
      </c>
      <c r="B144">
        <v>2016</v>
      </c>
      <c r="C144" t="s">
        <v>43</v>
      </c>
      <c r="D144" s="1">
        <v>133.06153846153845</v>
      </c>
      <c r="E144">
        <v>145</v>
      </c>
      <c r="F144" s="1">
        <v>127</v>
      </c>
      <c r="G144" s="1">
        <v>121.25</v>
      </c>
      <c r="H144">
        <v>121.8</v>
      </c>
      <c r="I144">
        <v>132.30000000000001</v>
      </c>
      <c r="J144">
        <v>121.1</v>
      </c>
      <c r="K144" s="1">
        <v>124.5</v>
      </c>
      <c r="L144">
        <f>SUM(Table2[[#This Row],[Food average]:[Miscelleneous and general index]])</f>
        <v>1026.0115384615383</v>
      </c>
    </row>
    <row r="145" spans="1:12" hidden="1" x14ac:dyDescent="0.25">
      <c r="A145" t="s">
        <v>31</v>
      </c>
      <c r="B145">
        <v>2016</v>
      </c>
      <c r="C145" t="s">
        <v>43</v>
      </c>
      <c r="D145" s="1">
        <v>133.9</v>
      </c>
      <c r="E145">
        <v>143.1</v>
      </c>
      <c r="F145" s="1">
        <v>133.83333333333334</v>
      </c>
      <c r="G145" s="1">
        <v>125.07499999999999</v>
      </c>
      <c r="H145">
        <v>124.2</v>
      </c>
      <c r="I145">
        <v>133.1</v>
      </c>
      <c r="J145">
        <v>124</v>
      </c>
      <c r="K145" s="1">
        <v>127.15</v>
      </c>
      <c r="L145">
        <f>SUM(Table2[[#This Row],[Food average]:[Miscelleneous and general index]])</f>
        <v>1044.3583333333333</v>
      </c>
    </row>
    <row r="146" spans="1:12" hidden="1" x14ac:dyDescent="0.25">
      <c r="A146" t="s">
        <v>28</v>
      </c>
      <c r="B146">
        <v>2017</v>
      </c>
      <c r="C146" t="s">
        <v>29</v>
      </c>
      <c r="D146" s="1">
        <v>133.63846153846154</v>
      </c>
      <c r="E146">
        <v>143.1</v>
      </c>
      <c r="F146" s="1">
        <v>138.83333333333334</v>
      </c>
      <c r="G146" s="1">
        <v>128.13333333333333</v>
      </c>
      <c r="H146">
        <v>127</v>
      </c>
      <c r="I146">
        <v>134.6</v>
      </c>
      <c r="J146">
        <v>126.1</v>
      </c>
      <c r="K146" s="1">
        <v>129.5</v>
      </c>
      <c r="L146">
        <f>SUM(Table2[[#This Row],[Food average]:[Miscelleneous and general index]])</f>
        <v>1060.9051282051282</v>
      </c>
    </row>
    <row r="147" spans="1:12" hidden="1" x14ac:dyDescent="0.25">
      <c r="A147" t="s">
        <v>30</v>
      </c>
      <c r="B147">
        <v>2017</v>
      </c>
      <c r="C147" t="s">
        <v>29</v>
      </c>
      <c r="D147" s="1">
        <v>131.78461538461539</v>
      </c>
      <c r="E147">
        <v>145.6</v>
      </c>
      <c r="F147" s="1">
        <v>127.16666666666667</v>
      </c>
      <c r="G147" s="1">
        <v>121.97499999999999</v>
      </c>
      <c r="H147">
        <v>122</v>
      </c>
      <c r="I147">
        <v>132.4</v>
      </c>
      <c r="J147">
        <v>121.75</v>
      </c>
      <c r="K147" s="1">
        <v>124.94999999999999</v>
      </c>
      <c r="L147">
        <f>SUM(Table2[[#This Row],[Food average]:[Miscelleneous and general index]])</f>
        <v>1027.626282051282</v>
      </c>
    </row>
    <row r="148" spans="1:12" hidden="1" x14ac:dyDescent="0.25">
      <c r="A148" t="s">
        <v>31</v>
      </c>
      <c r="B148">
        <v>2017</v>
      </c>
      <c r="C148" t="s">
        <v>29</v>
      </c>
      <c r="D148" s="1">
        <v>132.86923076923074</v>
      </c>
      <c r="E148">
        <v>143.80000000000001</v>
      </c>
      <c r="F148" s="1">
        <v>134.13333333333333</v>
      </c>
      <c r="G148" s="1">
        <v>125.69999999999999</v>
      </c>
      <c r="H148">
        <v>124.2</v>
      </c>
      <c r="I148">
        <v>133.30000000000001</v>
      </c>
      <c r="J148">
        <v>124.4</v>
      </c>
      <c r="K148" s="1">
        <v>127.35000000000001</v>
      </c>
      <c r="L148">
        <f>SUM(Table2[[#This Row],[Food average]:[Miscelleneous and general index]])</f>
        <v>1045.7525641025641</v>
      </c>
    </row>
    <row r="149" spans="1:12" hidden="1" x14ac:dyDescent="0.25">
      <c r="A149" t="s">
        <v>28</v>
      </c>
      <c r="B149">
        <v>2017</v>
      </c>
      <c r="C149" t="s">
        <v>32</v>
      </c>
      <c r="D149" s="1">
        <v>133.42307692307693</v>
      </c>
      <c r="E149">
        <v>143.69999999999999</v>
      </c>
      <c r="F149" s="1">
        <v>138.96666666666667</v>
      </c>
      <c r="G149" s="1">
        <v>128.76666666666665</v>
      </c>
      <c r="H149">
        <v>127.7</v>
      </c>
      <c r="I149">
        <v>134.9</v>
      </c>
      <c r="J149">
        <v>126.65</v>
      </c>
      <c r="K149" s="1">
        <v>129.80000000000001</v>
      </c>
      <c r="L149">
        <f>SUM(Table2[[#This Row],[Food average]:[Miscelleneous and general index]])</f>
        <v>1063.9064102564103</v>
      </c>
    </row>
    <row r="150" spans="1:12" hidden="1" x14ac:dyDescent="0.25">
      <c r="A150" t="s">
        <v>30</v>
      </c>
      <c r="B150">
        <v>2017</v>
      </c>
      <c r="C150" t="s">
        <v>32</v>
      </c>
      <c r="D150" s="1">
        <v>131.17692307692309</v>
      </c>
      <c r="E150">
        <v>146.30000000000001</v>
      </c>
      <c r="F150" s="1">
        <v>127.43333333333334</v>
      </c>
      <c r="G150" s="1">
        <v>122.625</v>
      </c>
      <c r="H150">
        <v>122.2</v>
      </c>
      <c r="I150">
        <v>132.4</v>
      </c>
      <c r="J150">
        <v>122.30000000000001</v>
      </c>
      <c r="K150" s="1">
        <v>125.3</v>
      </c>
      <c r="L150">
        <f>SUM(Table2[[#This Row],[Food average]:[Miscelleneous and general index]])</f>
        <v>1029.7352564102564</v>
      </c>
    </row>
    <row r="151" spans="1:12" hidden="1" x14ac:dyDescent="0.25">
      <c r="A151" t="s">
        <v>31</v>
      </c>
      <c r="B151">
        <v>2017</v>
      </c>
      <c r="C151" t="s">
        <v>32</v>
      </c>
      <c r="D151" s="1">
        <v>132.48461538461541</v>
      </c>
      <c r="E151">
        <v>144.4</v>
      </c>
      <c r="F151" s="1">
        <v>134.33333333333334</v>
      </c>
      <c r="G151" s="1">
        <v>126.375</v>
      </c>
      <c r="H151">
        <v>124.6</v>
      </c>
      <c r="I151">
        <v>133.4</v>
      </c>
      <c r="J151">
        <v>125</v>
      </c>
      <c r="K151" s="1">
        <v>127.69999999999999</v>
      </c>
      <c r="L151">
        <f>SUM(Table2[[#This Row],[Food average]:[Miscelleneous and general index]])</f>
        <v>1048.2929487179488</v>
      </c>
    </row>
    <row r="152" spans="1:12" hidden="1" x14ac:dyDescent="0.25">
      <c r="A152" t="s">
        <v>28</v>
      </c>
      <c r="B152">
        <v>2017</v>
      </c>
      <c r="C152" t="s">
        <v>33</v>
      </c>
      <c r="D152" s="1">
        <v>132.96153846153848</v>
      </c>
      <c r="E152">
        <v>144.19999999999999</v>
      </c>
      <c r="F152" s="1">
        <v>139.53333333333333</v>
      </c>
      <c r="G152" s="1">
        <v>129.36666666666665</v>
      </c>
      <c r="H152">
        <v>128.30000000000001</v>
      </c>
      <c r="I152">
        <v>135.19999999999999</v>
      </c>
      <c r="J152">
        <v>126.94999999999999</v>
      </c>
      <c r="K152" s="1">
        <v>130.10000000000002</v>
      </c>
      <c r="L152">
        <f>SUM(Table2[[#This Row],[Food average]:[Miscelleneous and general index]])</f>
        <v>1066.6115384615387</v>
      </c>
    </row>
    <row r="153" spans="1:12" hidden="1" x14ac:dyDescent="0.25">
      <c r="A153" t="s">
        <v>30</v>
      </c>
      <c r="B153">
        <v>2017</v>
      </c>
      <c r="C153" t="s">
        <v>33</v>
      </c>
      <c r="D153" s="1">
        <v>131.2076923076923</v>
      </c>
      <c r="E153">
        <v>147.5</v>
      </c>
      <c r="F153" s="1">
        <v>127.73333333333335</v>
      </c>
      <c r="G153" s="1">
        <v>123.27500000000001</v>
      </c>
      <c r="H153">
        <v>122.4</v>
      </c>
      <c r="I153">
        <v>132.80000000000001</v>
      </c>
      <c r="J153">
        <v>122.4</v>
      </c>
      <c r="K153" s="1">
        <v>125.64999999999999</v>
      </c>
      <c r="L153">
        <f>SUM(Table2[[#This Row],[Food average]:[Miscelleneous and general index]])</f>
        <v>1032.9660256410257</v>
      </c>
    </row>
    <row r="154" spans="1:12" hidden="1" x14ac:dyDescent="0.25">
      <c r="A154" t="s">
        <v>31</v>
      </c>
      <c r="B154">
        <v>2017</v>
      </c>
      <c r="C154" t="s">
        <v>33</v>
      </c>
      <c r="D154" s="1">
        <v>132.22307692307692</v>
      </c>
      <c r="E154">
        <v>145.1</v>
      </c>
      <c r="F154" s="1">
        <v>134.76666666666665</v>
      </c>
      <c r="G154" s="1">
        <v>126.97499999999999</v>
      </c>
      <c r="H154">
        <v>125</v>
      </c>
      <c r="I154">
        <v>133.80000000000001</v>
      </c>
      <c r="J154">
        <v>125.19999999999999</v>
      </c>
      <c r="K154" s="1">
        <v>128</v>
      </c>
      <c r="L154">
        <f>SUM(Table2[[#This Row],[Food average]:[Miscelleneous and general index]])</f>
        <v>1051.0647435897436</v>
      </c>
    </row>
    <row r="155" spans="1:12" hidden="1" x14ac:dyDescent="0.25">
      <c r="A155" t="s">
        <v>28</v>
      </c>
      <c r="B155">
        <v>2017</v>
      </c>
      <c r="C155" t="s">
        <v>34</v>
      </c>
      <c r="D155" s="1">
        <v>132.7923076923077</v>
      </c>
      <c r="E155">
        <v>144.4</v>
      </c>
      <c r="F155" s="1">
        <v>140.26666666666668</v>
      </c>
      <c r="G155" s="1">
        <v>129.5</v>
      </c>
      <c r="H155">
        <v>128.30000000000001</v>
      </c>
      <c r="I155">
        <v>135.69999999999999</v>
      </c>
      <c r="J155">
        <v>127.35</v>
      </c>
      <c r="K155" s="1">
        <v>130.19999999999999</v>
      </c>
      <c r="L155">
        <f>SUM(Table2[[#This Row],[Food average]:[Miscelleneous and general index]])</f>
        <v>1068.5089743589745</v>
      </c>
    </row>
    <row r="156" spans="1:12" hidden="1" x14ac:dyDescent="0.25">
      <c r="A156" t="s">
        <v>30</v>
      </c>
      <c r="B156">
        <v>2017</v>
      </c>
      <c r="C156" t="s">
        <v>34</v>
      </c>
      <c r="D156" s="1">
        <v>131.3923076923077</v>
      </c>
      <c r="E156">
        <v>148</v>
      </c>
      <c r="F156" s="1">
        <v>128.06666666666666</v>
      </c>
      <c r="G156" s="1">
        <v>123.35000000000001</v>
      </c>
      <c r="H156">
        <v>122.6</v>
      </c>
      <c r="I156">
        <v>133.6</v>
      </c>
      <c r="J156">
        <v>122.80000000000001</v>
      </c>
      <c r="K156" s="1">
        <v>125.8</v>
      </c>
      <c r="L156">
        <f>SUM(Table2[[#This Row],[Food average]:[Miscelleneous and general index]])</f>
        <v>1035.6089743589744</v>
      </c>
    </row>
    <row r="157" spans="1:12" hidden="1" x14ac:dyDescent="0.25">
      <c r="A157" t="s">
        <v>31</v>
      </c>
      <c r="B157">
        <v>2017</v>
      </c>
      <c r="C157" t="s">
        <v>34</v>
      </c>
      <c r="D157" s="1">
        <v>132.1846153846154</v>
      </c>
      <c r="E157">
        <v>145.4</v>
      </c>
      <c r="F157" s="1">
        <v>135.36666666666667</v>
      </c>
      <c r="G157" s="1">
        <v>127.125</v>
      </c>
      <c r="H157">
        <v>125.1</v>
      </c>
      <c r="I157">
        <v>134.5</v>
      </c>
      <c r="J157">
        <v>125.6</v>
      </c>
      <c r="K157" s="1">
        <v>128.1</v>
      </c>
      <c r="L157">
        <f>SUM(Table2[[#This Row],[Food average]:[Miscelleneous and general index]])</f>
        <v>1053.376282051282</v>
      </c>
    </row>
    <row r="158" spans="1:12" hidden="1" x14ac:dyDescent="0.25">
      <c r="A158" t="s">
        <v>28</v>
      </c>
      <c r="B158">
        <v>2017</v>
      </c>
      <c r="C158" t="s">
        <v>35</v>
      </c>
      <c r="D158" s="1">
        <v>132.88461538461536</v>
      </c>
      <c r="E158">
        <v>145.5</v>
      </c>
      <c r="F158" s="1">
        <v>140.53333333333333</v>
      </c>
      <c r="G158" s="1">
        <v>129.76666666666665</v>
      </c>
      <c r="H158">
        <v>129.4</v>
      </c>
      <c r="I158">
        <v>136.30000000000001</v>
      </c>
      <c r="J158">
        <v>127.55000000000001</v>
      </c>
      <c r="K158" s="1">
        <v>130.60000000000002</v>
      </c>
      <c r="L158">
        <f>SUM(Table2[[#This Row],[Food average]:[Miscelleneous and general index]])</f>
        <v>1072.5346153846153</v>
      </c>
    </row>
    <row r="159" spans="1:12" hidden="1" x14ac:dyDescent="0.25">
      <c r="A159" t="s">
        <v>30</v>
      </c>
      <c r="B159">
        <v>2017</v>
      </c>
      <c r="C159" t="s">
        <v>35</v>
      </c>
      <c r="D159" s="1">
        <v>131.50769230769231</v>
      </c>
      <c r="E159">
        <v>148.30000000000001</v>
      </c>
      <c r="F159" s="1">
        <v>128.29999999999998</v>
      </c>
      <c r="G159" s="1">
        <v>123.25</v>
      </c>
      <c r="H159">
        <v>122.8</v>
      </c>
      <c r="I159">
        <v>133.80000000000001</v>
      </c>
      <c r="J159">
        <v>122.8</v>
      </c>
      <c r="K159" s="1">
        <v>125.95</v>
      </c>
      <c r="L159">
        <f>SUM(Table2[[#This Row],[Food average]:[Miscelleneous and general index]])</f>
        <v>1036.7076923076922</v>
      </c>
    </row>
    <row r="160" spans="1:12" hidden="1" x14ac:dyDescent="0.25">
      <c r="A160" t="s">
        <v>31</v>
      </c>
      <c r="B160">
        <v>2017</v>
      </c>
      <c r="C160" t="s">
        <v>35</v>
      </c>
      <c r="D160" s="1">
        <v>132.27692307692308</v>
      </c>
      <c r="E160">
        <v>146.19999999999999</v>
      </c>
      <c r="F160" s="1">
        <v>135.6</v>
      </c>
      <c r="G160" s="1">
        <v>127.27499999999999</v>
      </c>
      <c r="H160">
        <v>125.7</v>
      </c>
      <c r="I160">
        <v>134.80000000000001</v>
      </c>
      <c r="J160">
        <v>125.7</v>
      </c>
      <c r="K160" s="1">
        <v>128.35</v>
      </c>
      <c r="L160">
        <f>SUM(Table2[[#This Row],[Food average]:[Miscelleneous and general index]])</f>
        <v>1055.9019230769231</v>
      </c>
    </row>
    <row r="161" spans="1:12" hidden="1" x14ac:dyDescent="0.25">
      <c r="A161" t="s">
        <v>28</v>
      </c>
      <c r="B161">
        <v>2017</v>
      </c>
      <c r="C161" t="s">
        <v>36</v>
      </c>
      <c r="D161" s="1">
        <v>133.75384615384615</v>
      </c>
      <c r="E161">
        <v>145.80000000000001</v>
      </c>
      <c r="F161" s="1">
        <v>141.03333333333333</v>
      </c>
      <c r="G161" s="1">
        <v>129.79999999999998</v>
      </c>
      <c r="H161">
        <v>129.80000000000001</v>
      </c>
      <c r="I161">
        <v>136.9</v>
      </c>
      <c r="J161">
        <v>127.7</v>
      </c>
      <c r="K161" s="1">
        <v>131</v>
      </c>
      <c r="L161">
        <f>SUM(Table2[[#This Row],[Food average]:[Miscelleneous and general index]])</f>
        <v>1075.7871794871794</v>
      </c>
    </row>
    <row r="162" spans="1:12" hidden="1" x14ac:dyDescent="0.25">
      <c r="A162" t="s">
        <v>30</v>
      </c>
      <c r="B162">
        <v>2017</v>
      </c>
      <c r="C162" t="s">
        <v>36</v>
      </c>
      <c r="D162" s="1">
        <v>133.15384615384616</v>
      </c>
      <c r="E162">
        <v>148.6</v>
      </c>
      <c r="F162" s="1">
        <v>128.29999999999998</v>
      </c>
      <c r="G162" s="1">
        <v>122.77500000000001</v>
      </c>
      <c r="H162">
        <v>122.9</v>
      </c>
      <c r="I162">
        <v>134.30000000000001</v>
      </c>
      <c r="J162">
        <v>123.15</v>
      </c>
      <c r="K162" s="1">
        <v>126.30000000000001</v>
      </c>
      <c r="L162">
        <f>SUM(Table2[[#This Row],[Food average]:[Miscelleneous and general index]])</f>
        <v>1039.4788461538462</v>
      </c>
    </row>
    <row r="163" spans="1:12" hidden="1" x14ac:dyDescent="0.25">
      <c r="A163" t="s">
        <v>31</v>
      </c>
      <c r="B163">
        <v>2017</v>
      </c>
      <c r="C163" t="s">
        <v>36</v>
      </c>
      <c r="D163" s="1">
        <v>133.43846153846155</v>
      </c>
      <c r="E163">
        <v>146.5</v>
      </c>
      <c r="F163" s="1">
        <v>135.9</v>
      </c>
      <c r="G163" s="1">
        <v>126.97500000000001</v>
      </c>
      <c r="H163">
        <v>125.9</v>
      </c>
      <c r="I163">
        <v>135.4</v>
      </c>
      <c r="J163">
        <v>125.95</v>
      </c>
      <c r="K163" s="1">
        <v>128.75</v>
      </c>
      <c r="L163">
        <f>SUM(Table2[[#This Row],[Food average]:[Miscelleneous and general index]])</f>
        <v>1058.8134615384615</v>
      </c>
    </row>
    <row r="164" spans="1:12" hidden="1" x14ac:dyDescent="0.25">
      <c r="A164" t="s">
        <v>28</v>
      </c>
      <c r="B164">
        <v>2017</v>
      </c>
      <c r="C164" t="s">
        <v>37</v>
      </c>
      <c r="D164" s="1">
        <v>136.37692307692308</v>
      </c>
      <c r="E164">
        <v>147.4</v>
      </c>
      <c r="F164" s="1">
        <v>141.96666666666667</v>
      </c>
      <c r="G164" s="1">
        <v>130.16666666666666</v>
      </c>
      <c r="H164">
        <v>130.6</v>
      </c>
      <c r="I164">
        <v>138.6</v>
      </c>
      <c r="J164">
        <v>128.25</v>
      </c>
      <c r="K164" s="1">
        <v>132.39999999999998</v>
      </c>
      <c r="L164">
        <f>SUM(Table2[[#This Row],[Food average]:[Miscelleneous and general index]])</f>
        <v>1085.7602564102563</v>
      </c>
    </row>
    <row r="165" spans="1:12" hidden="1" x14ac:dyDescent="0.25">
      <c r="A165" t="s">
        <v>30</v>
      </c>
      <c r="B165">
        <v>2017</v>
      </c>
      <c r="C165" t="s">
        <v>37</v>
      </c>
      <c r="D165" s="1">
        <v>136.00769230769231</v>
      </c>
      <c r="E165">
        <v>150.5</v>
      </c>
      <c r="F165" s="1">
        <v>128.56666666666669</v>
      </c>
      <c r="G165" s="1">
        <v>123.175</v>
      </c>
      <c r="H165">
        <v>123.5</v>
      </c>
      <c r="I165">
        <v>135.5</v>
      </c>
      <c r="J165">
        <v>123.7</v>
      </c>
      <c r="K165" s="1">
        <v>127.4</v>
      </c>
      <c r="L165">
        <f>SUM(Table2[[#This Row],[Food average]:[Miscelleneous and general index]])</f>
        <v>1048.3493589743591</v>
      </c>
    </row>
    <row r="166" spans="1:12" hidden="1" x14ac:dyDescent="0.25">
      <c r="A166" t="s">
        <v>31</v>
      </c>
      <c r="B166">
        <v>2017</v>
      </c>
      <c r="C166" t="s">
        <v>37</v>
      </c>
      <c r="D166" s="1">
        <v>136.1076923076923</v>
      </c>
      <c r="E166">
        <v>148.19999999999999</v>
      </c>
      <c r="F166" s="1">
        <v>136.56666666666666</v>
      </c>
      <c r="G166" s="1">
        <v>127.47499999999999</v>
      </c>
      <c r="H166">
        <v>126.6</v>
      </c>
      <c r="I166">
        <v>136.80000000000001</v>
      </c>
      <c r="J166">
        <v>126.5</v>
      </c>
      <c r="K166" s="1">
        <v>130.05000000000001</v>
      </c>
      <c r="L166">
        <f>SUM(Table2[[#This Row],[Food average]:[Miscelleneous and general index]])</f>
        <v>1068.2993589743589</v>
      </c>
    </row>
    <row r="167" spans="1:12" hidden="1" x14ac:dyDescent="0.25">
      <c r="A167" t="s">
        <v>28</v>
      </c>
      <c r="B167">
        <v>2017</v>
      </c>
      <c r="C167" t="s">
        <v>38</v>
      </c>
      <c r="D167" s="1">
        <v>137.88461538461536</v>
      </c>
      <c r="E167">
        <v>149</v>
      </c>
      <c r="F167" s="1">
        <v>143</v>
      </c>
      <c r="G167" s="1">
        <v>131.33333333333334</v>
      </c>
      <c r="H167">
        <v>131.5</v>
      </c>
      <c r="I167">
        <v>140.19999999999999</v>
      </c>
      <c r="J167">
        <v>129.19999999999999</v>
      </c>
      <c r="K167" s="1">
        <v>133.75</v>
      </c>
      <c r="L167">
        <f>SUM(Table2[[#This Row],[Food average]:[Miscelleneous and general index]])</f>
        <v>1095.8679487179488</v>
      </c>
    </row>
    <row r="168" spans="1:12" hidden="1" x14ac:dyDescent="0.25">
      <c r="A168" t="s">
        <v>30</v>
      </c>
      <c r="B168">
        <v>2017</v>
      </c>
      <c r="C168" t="s">
        <v>38</v>
      </c>
      <c r="D168" s="1">
        <v>136.38461538461536</v>
      </c>
      <c r="E168">
        <v>152.1</v>
      </c>
      <c r="F168" s="1">
        <v>129.46666666666667</v>
      </c>
      <c r="G168" s="1">
        <v>123.9</v>
      </c>
      <c r="H168">
        <v>124.1</v>
      </c>
      <c r="I168">
        <v>135.69999999999999</v>
      </c>
      <c r="J168">
        <v>124.5</v>
      </c>
      <c r="K168" s="1">
        <v>128.25</v>
      </c>
      <c r="L168">
        <f>SUM(Table2[[#This Row],[Food average]:[Miscelleneous and general index]])</f>
        <v>1054.4012820512821</v>
      </c>
    </row>
    <row r="169" spans="1:12" hidden="1" x14ac:dyDescent="0.25">
      <c r="A169" t="s">
        <v>31</v>
      </c>
      <c r="B169">
        <v>2017</v>
      </c>
      <c r="C169" t="s">
        <v>38</v>
      </c>
      <c r="D169" s="1">
        <v>137.21538461538461</v>
      </c>
      <c r="E169">
        <v>149.80000000000001</v>
      </c>
      <c r="F169" s="1">
        <v>137.53333333333333</v>
      </c>
      <c r="G169" s="1">
        <v>128.57500000000002</v>
      </c>
      <c r="H169">
        <v>127.3</v>
      </c>
      <c r="I169">
        <v>137.6</v>
      </c>
      <c r="J169">
        <v>127.35</v>
      </c>
      <c r="K169" s="1">
        <v>131.1</v>
      </c>
      <c r="L169">
        <f>SUM(Table2[[#This Row],[Food average]:[Miscelleneous and general index]])</f>
        <v>1076.4737179487179</v>
      </c>
    </row>
    <row r="170" spans="1:12" hidden="1" x14ac:dyDescent="0.25">
      <c r="A170" t="s">
        <v>28</v>
      </c>
      <c r="B170">
        <v>2017</v>
      </c>
      <c r="C170" t="s">
        <v>39</v>
      </c>
      <c r="D170" s="1">
        <v>137.25384615384615</v>
      </c>
      <c r="E170">
        <v>149.80000000000001</v>
      </c>
      <c r="F170" s="1">
        <v>143.66666666666666</v>
      </c>
      <c r="G170" s="1">
        <v>132.16666666666666</v>
      </c>
      <c r="H170">
        <v>132.30000000000001</v>
      </c>
      <c r="I170">
        <v>139.6</v>
      </c>
      <c r="J170">
        <v>130.05000000000001</v>
      </c>
      <c r="K170" s="1">
        <v>133.94999999999999</v>
      </c>
      <c r="L170">
        <f>SUM(Table2[[#This Row],[Food average]:[Miscelleneous and general index]])</f>
        <v>1098.7871794871796</v>
      </c>
    </row>
    <row r="171" spans="1:12" hidden="1" x14ac:dyDescent="0.25">
      <c r="A171" t="s">
        <v>30</v>
      </c>
      <c r="B171">
        <v>2017</v>
      </c>
      <c r="C171" t="s">
        <v>39</v>
      </c>
      <c r="D171" s="1">
        <v>134.59230769230768</v>
      </c>
      <c r="E171">
        <v>153.6</v>
      </c>
      <c r="F171" s="1">
        <v>129.96666666666667</v>
      </c>
      <c r="G171" s="1">
        <v>125.02499999999999</v>
      </c>
      <c r="H171">
        <v>124.5</v>
      </c>
      <c r="I171">
        <v>135.9</v>
      </c>
      <c r="J171">
        <v>125.25</v>
      </c>
      <c r="K171" s="1">
        <v>128.44999999999999</v>
      </c>
      <c r="L171">
        <f>SUM(Table2[[#This Row],[Food average]:[Miscelleneous and general index]])</f>
        <v>1057.2839743589743</v>
      </c>
    </row>
    <row r="172" spans="1:12" hidden="1" x14ac:dyDescent="0.25">
      <c r="A172" t="s">
        <v>31</v>
      </c>
      <c r="B172">
        <v>2017</v>
      </c>
      <c r="C172" t="s">
        <v>39</v>
      </c>
      <c r="D172" s="1">
        <v>136.15384615384613</v>
      </c>
      <c r="E172">
        <v>150.80000000000001</v>
      </c>
      <c r="F172" s="1">
        <v>138.16666666666666</v>
      </c>
      <c r="G172" s="1">
        <v>129.57499999999999</v>
      </c>
      <c r="H172">
        <v>127.9</v>
      </c>
      <c r="I172">
        <v>137.4</v>
      </c>
      <c r="J172">
        <v>128.15</v>
      </c>
      <c r="K172" s="1">
        <v>131.35</v>
      </c>
      <c r="L172">
        <f>SUM(Table2[[#This Row],[Food average]:[Miscelleneous and general index]])</f>
        <v>1079.4955128205127</v>
      </c>
    </row>
    <row r="173" spans="1:12" hidden="1" x14ac:dyDescent="0.25">
      <c r="A173" t="s">
        <v>28</v>
      </c>
      <c r="B173">
        <v>2017</v>
      </c>
      <c r="C173" t="s">
        <v>40</v>
      </c>
      <c r="D173" s="1">
        <v>137.76153846153846</v>
      </c>
      <c r="E173">
        <v>150.5</v>
      </c>
      <c r="F173" s="1">
        <v>144.66666666666666</v>
      </c>
      <c r="G173" s="1">
        <v>132.5</v>
      </c>
      <c r="H173">
        <v>133</v>
      </c>
      <c r="I173">
        <v>140.1</v>
      </c>
      <c r="J173">
        <v>130.80000000000001</v>
      </c>
      <c r="K173" s="1">
        <v>134.5</v>
      </c>
      <c r="L173">
        <f>SUM(Table2[[#This Row],[Food average]:[Miscelleneous and general index]])</f>
        <v>1103.8282051282051</v>
      </c>
    </row>
    <row r="174" spans="1:12" hidden="1" x14ac:dyDescent="0.25">
      <c r="A174" t="s">
        <v>30</v>
      </c>
      <c r="B174">
        <v>2017</v>
      </c>
      <c r="C174" t="s">
        <v>40</v>
      </c>
      <c r="D174" s="1">
        <v>135.82307692307691</v>
      </c>
      <c r="E174">
        <v>154.6</v>
      </c>
      <c r="F174" s="1">
        <v>130.5</v>
      </c>
      <c r="G174" s="1">
        <v>125.8</v>
      </c>
      <c r="H174">
        <v>124.8</v>
      </c>
      <c r="I174">
        <v>136.30000000000001</v>
      </c>
      <c r="J174">
        <v>125.6</v>
      </c>
      <c r="K174" s="1">
        <v>129</v>
      </c>
      <c r="L174">
        <f>SUM(Table2[[#This Row],[Food average]:[Miscelleneous and general index]])</f>
        <v>1062.4230769230767</v>
      </c>
    </row>
    <row r="175" spans="1:12" hidden="1" x14ac:dyDescent="0.25">
      <c r="A175" t="s">
        <v>31</v>
      </c>
      <c r="B175">
        <v>2017</v>
      </c>
      <c r="C175" t="s">
        <v>40</v>
      </c>
      <c r="D175" s="1">
        <v>136.89999999999998</v>
      </c>
      <c r="E175">
        <v>151.6</v>
      </c>
      <c r="F175" s="1">
        <v>138.96666666666667</v>
      </c>
      <c r="G175" s="1">
        <v>130.22499999999999</v>
      </c>
      <c r="H175">
        <v>128.4</v>
      </c>
      <c r="I175">
        <v>137.9</v>
      </c>
      <c r="J175">
        <v>128.75</v>
      </c>
      <c r="K175" s="1">
        <v>131.9</v>
      </c>
      <c r="L175">
        <f>SUM(Table2[[#This Row],[Food average]:[Miscelleneous and general index]])</f>
        <v>1084.6416666666667</v>
      </c>
    </row>
    <row r="176" spans="1:12" hidden="1" x14ac:dyDescent="0.25">
      <c r="A176" t="s">
        <v>28</v>
      </c>
      <c r="B176">
        <v>2017</v>
      </c>
      <c r="C176" t="s">
        <v>42</v>
      </c>
      <c r="D176" s="1">
        <v>139.82307692307694</v>
      </c>
      <c r="E176">
        <v>152.1</v>
      </c>
      <c r="F176" s="1">
        <v>145.66666666666666</v>
      </c>
      <c r="G176" s="1">
        <v>134.03333333333333</v>
      </c>
      <c r="H176">
        <v>133.69999999999999</v>
      </c>
      <c r="I176">
        <v>141.5</v>
      </c>
      <c r="J176">
        <v>131.94999999999999</v>
      </c>
      <c r="K176" s="1">
        <v>135.85</v>
      </c>
      <c r="L176">
        <f>SUM(Table2[[#This Row],[Food average]:[Miscelleneous and general index]])</f>
        <v>1114.6230769230767</v>
      </c>
    </row>
    <row r="177" spans="1:12" hidden="1" x14ac:dyDescent="0.25">
      <c r="A177" t="s">
        <v>30</v>
      </c>
      <c r="B177">
        <v>2017</v>
      </c>
      <c r="C177" t="s">
        <v>42</v>
      </c>
      <c r="D177" s="1">
        <v>138.2076923076923</v>
      </c>
      <c r="E177">
        <v>156.19999999999999</v>
      </c>
      <c r="F177" s="1">
        <v>131.29999999999998</v>
      </c>
      <c r="G177" s="1">
        <v>127.10000000000001</v>
      </c>
      <c r="H177">
        <v>125.1</v>
      </c>
      <c r="I177">
        <v>136.6</v>
      </c>
      <c r="J177">
        <v>126.15</v>
      </c>
      <c r="K177" s="1">
        <v>129.85000000000002</v>
      </c>
      <c r="L177">
        <f>SUM(Table2[[#This Row],[Food average]:[Miscelleneous and general index]])</f>
        <v>1070.5076923076922</v>
      </c>
    </row>
    <row r="178" spans="1:12" hidden="1" x14ac:dyDescent="0.25">
      <c r="A178" t="s">
        <v>31</v>
      </c>
      <c r="B178">
        <v>2017</v>
      </c>
      <c r="C178" t="s">
        <v>42</v>
      </c>
      <c r="D178" s="1">
        <v>139.09230769230768</v>
      </c>
      <c r="E178">
        <v>153.19999999999999</v>
      </c>
      <c r="F178" s="1">
        <v>139.86666666666667</v>
      </c>
      <c r="G178" s="1">
        <v>131.64999999999998</v>
      </c>
      <c r="H178">
        <v>128.9</v>
      </c>
      <c r="I178">
        <v>138.6</v>
      </c>
      <c r="J178">
        <v>129.69999999999999</v>
      </c>
      <c r="K178" s="1">
        <v>133</v>
      </c>
      <c r="L178">
        <f>SUM(Table2[[#This Row],[Food average]:[Miscelleneous and general index]])</f>
        <v>1094.0089743589742</v>
      </c>
    </row>
    <row r="179" spans="1:12" hidden="1" x14ac:dyDescent="0.25">
      <c r="A179" t="s">
        <v>28</v>
      </c>
      <c r="B179">
        <v>2017</v>
      </c>
      <c r="C179" t="s">
        <v>43</v>
      </c>
      <c r="D179" s="1">
        <v>139.50769230769231</v>
      </c>
      <c r="E179">
        <v>153.19999999999999</v>
      </c>
      <c r="F179" s="1">
        <v>145.69999999999999</v>
      </c>
      <c r="G179" s="1">
        <v>134.70000000000002</v>
      </c>
      <c r="H179">
        <v>133.4</v>
      </c>
      <c r="I179">
        <v>141.1</v>
      </c>
      <c r="J179">
        <v>131.94999999999999</v>
      </c>
      <c r="K179" s="1">
        <v>135.85000000000002</v>
      </c>
      <c r="L179">
        <f>SUM(Table2[[#This Row],[Food average]:[Miscelleneous and general index]])</f>
        <v>1115.4076923076923</v>
      </c>
    </row>
    <row r="180" spans="1:12" hidden="1" x14ac:dyDescent="0.25">
      <c r="A180" t="s">
        <v>30</v>
      </c>
      <c r="B180">
        <v>2017</v>
      </c>
      <c r="C180" t="s">
        <v>43</v>
      </c>
      <c r="D180" s="1">
        <v>135.96153846153845</v>
      </c>
      <c r="E180">
        <v>157</v>
      </c>
      <c r="F180" s="1">
        <v>131.73333333333332</v>
      </c>
      <c r="G180" s="1">
        <v>127.625</v>
      </c>
      <c r="H180">
        <v>125.6</v>
      </c>
      <c r="I180">
        <v>136.69999999999999</v>
      </c>
      <c r="J180">
        <v>126.39999999999999</v>
      </c>
      <c r="K180" s="1">
        <v>129.6</v>
      </c>
      <c r="L180">
        <f>SUM(Table2[[#This Row],[Food average]:[Miscelleneous and general index]])</f>
        <v>1070.6198717948719</v>
      </c>
    </row>
    <row r="181" spans="1:12" hidden="1" x14ac:dyDescent="0.25">
      <c r="A181" t="s">
        <v>31</v>
      </c>
      <c r="B181">
        <v>2017</v>
      </c>
      <c r="C181" t="s">
        <v>43</v>
      </c>
      <c r="D181" s="1">
        <v>138.07692307692307</v>
      </c>
      <c r="E181">
        <v>154.19999999999999</v>
      </c>
      <c r="F181" s="1">
        <v>140.06666666666666</v>
      </c>
      <c r="G181" s="1">
        <v>132.22499999999999</v>
      </c>
      <c r="H181">
        <v>129</v>
      </c>
      <c r="I181">
        <v>138.5</v>
      </c>
      <c r="J181">
        <v>129.80000000000001</v>
      </c>
      <c r="K181" s="1">
        <v>132.89999999999998</v>
      </c>
      <c r="L181">
        <f>SUM(Table2[[#This Row],[Food average]:[Miscelleneous and general index]])</f>
        <v>1094.7685897435895</v>
      </c>
    </row>
    <row r="182" spans="1:12" hidden="1" x14ac:dyDescent="0.25">
      <c r="A182" t="s">
        <v>28</v>
      </c>
      <c r="B182">
        <v>2018</v>
      </c>
      <c r="C182" t="s">
        <v>29</v>
      </c>
      <c r="D182" s="1">
        <v>138.51538461538462</v>
      </c>
      <c r="E182">
        <v>153.6</v>
      </c>
      <c r="F182" s="1">
        <v>146.03333333333333</v>
      </c>
      <c r="G182" s="1">
        <v>134.93333333333334</v>
      </c>
      <c r="H182">
        <v>134.30000000000001</v>
      </c>
      <c r="I182">
        <v>141.6</v>
      </c>
      <c r="J182">
        <v>132.30000000000001</v>
      </c>
      <c r="K182" s="1">
        <v>135.80000000000001</v>
      </c>
      <c r="L182">
        <f>SUM(Table2[[#This Row],[Food average]:[Miscelleneous and general index]])</f>
        <v>1117.0820512820512</v>
      </c>
    </row>
    <row r="183" spans="1:12" hidden="1" x14ac:dyDescent="0.25">
      <c r="A183" t="s">
        <v>30</v>
      </c>
      <c r="B183">
        <v>2018</v>
      </c>
      <c r="C183" t="s">
        <v>29</v>
      </c>
      <c r="D183" s="1">
        <v>134.48461538461541</v>
      </c>
      <c r="E183">
        <v>157.69999999999999</v>
      </c>
      <c r="F183" s="1">
        <v>132.1</v>
      </c>
      <c r="G183" s="1">
        <v>128.375</v>
      </c>
      <c r="H183">
        <v>126.2</v>
      </c>
      <c r="I183">
        <v>137.1</v>
      </c>
      <c r="J183">
        <v>127.25</v>
      </c>
      <c r="K183" s="1">
        <v>129.94999999999999</v>
      </c>
      <c r="L183">
        <f>SUM(Table2[[#This Row],[Food average]:[Miscelleneous and general index]])</f>
        <v>1073.1596153846156</v>
      </c>
    </row>
    <row r="184" spans="1:12" hidden="1" x14ac:dyDescent="0.25">
      <c r="A184" t="s">
        <v>31</v>
      </c>
      <c r="B184">
        <v>2018</v>
      </c>
      <c r="C184" t="s">
        <v>29</v>
      </c>
      <c r="D184" s="1">
        <v>136.91538461538462</v>
      </c>
      <c r="E184">
        <v>154.69999999999999</v>
      </c>
      <c r="F184" s="1">
        <v>140.43333333333334</v>
      </c>
      <c r="G184" s="1">
        <v>132.79999999999998</v>
      </c>
      <c r="H184">
        <v>129.69999999999999</v>
      </c>
      <c r="I184">
        <v>139</v>
      </c>
      <c r="J184">
        <v>130.30000000000001</v>
      </c>
      <c r="K184" s="1">
        <v>133</v>
      </c>
      <c r="L184">
        <f>SUM(Table2[[#This Row],[Food average]:[Miscelleneous and general index]])</f>
        <v>1096.8487179487179</v>
      </c>
    </row>
    <row r="185" spans="1:12" hidden="1" x14ac:dyDescent="0.25">
      <c r="A185" t="s">
        <v>28</v>
      </c>
      <c r="B185">
        <v>2018</v>
      </c>
      <c r="C185" t="s">
        <v>32</v>
      </c>
      <c r="D185" s="1">
        <v>137.03846153846155</v>
      </c>
      <c r="E185">
        <v>153.30000000000001</v>
      </c>
      <c r="F185" s="1">
        <v>146.30000000000001</v>
      </c>
      <c r="G185" s="1">
        <v>135.20000000000002</v>
      </c>
      <c r="H185">
        <v>134.30000000000001</v>
      </c>
      <c r="I185">
        <v>141.5</v>
      </c>
      <c r="J185">
        <v>132.5</v>
      </c>
      <c r="K185" s="1">
        <v>135.5</v>
      </c>
      <c r="L185">
        <f>SUM(Table2[[#This Row],[Food average]:[Miscelleneous and general index]])</f>
        <v>1115.6384615384616</v>
      </c>
    </row>
    <row r="186" spans="1:12" hidden="1" x14ac:dyDescent="0.25">
      <c r="A186" t="s">
        <v>30</v>
      </c>
      <c r="B186">
        <v>2018</v>
      </c>
      <c r="C186" t="s">
        <v>32</v>
      </c>
      <c r="D186" s="1">
        <v>132.91538461538462</v>
      </c>
      <c r="E186">
        <v>159.30000000000001</v>
      </c>
      <c r="F186" s="1">
        <v>132.36666666666665</v>
      </c>
      <c r="G186" s="1">
        <v>128.97499999999999</v>
      </c>
      <c r="H186">
        <v>126.5</v>
      </c>
      <c r="I186">
        <v>137.19999999999999</v>
      </c>
      <c r="J186">
        <v>128</v>
      </c>
      <c r="K186" s="1">
        <v>130.25</v>
      </c>
      <c r="L186">
        <f>SUM(Table2[[#This Row],[Food average]:[Miscelleneous and general index]])</f>
        <v>1075.5070512820514</v>
      </c>
    </row>
    <row r="187" spans="1:12" hidden="1" x14ac:dyDescent="0.25">
      <c r="A187" t="s">
        <v>31</v>
      </c>
      <c r="B187">
        <v>2018</v>
      </c>
      <c r="C187" t="s">
        <v>32</v>
      </c>
      <c r="D187" s="1">
        <v>135.4153846153846</v>
      </c>
      <c r="E187">
        <v>154.9</v>
      </c>
      <c r="F187" s="1">
        <v>140.66666666666666</v>
      </c>
      <c r="G187" s="1">
        <v>133.35</v>
      </c>
      <c r="H187">
        <v>129.9</v>
      </c>
      <c r="I187">
        <v>139</v>
      </c>
      <c r="J187">
        <v>130.75</v>
      </c>
      <c r="K187" s="1">
        <v>133</v>
      </c>
      <c r="L187">
        <f>SUM(Table2[[#This Row],[Food average]:[Miscelleneous and general index]])</f>
        <v>1096.9820512820511</v>
      </c>
    </row>
    <row r="188" spans="1:12" hidden="1" x14ac:dyDescent="0.25">
      <c r="A188" t="s">
        <v>28</v>
      </c>
      <c r="B188">
        <v>2018</v>
      </c>
      <c r="C188" t="s">
        <v>33</v>
      </c>
      <c r="D188" s="1">
        <v>137.07692307692307</v>
      </c>
      <c r="E188">
        <v>155.1</v>
      </c>
      <c r="F188" s="1">
        <v>146.83333333333334</v>
      </c>
      <c r="G188" s="1">
        <v>135.70000000000002</v>
      </c>
      <c r="H188">
        <v>135.1</v>
      </c>
      <c r="I188">
        <v>142.69999999999999</v>
      </c>
      <c r="J188">
        <v>133</v>
      </c>
      <c r="K188" s="1">
        <v>136</v>
      </c>
      <c r="L188">
        <f>SUM(Table2[[#This Row],[Food average]:[Miscelleneous and general index]])</f>
        <v>1121.5102564102565</v>
      </c>
    </row>
    <row r="189" spans="1:12" hidden="1" x14ac:dyDescent="0.25">
      <c r="A189" t="s">
        <v>30</v>
      </c>
      <c r="B189">
        <v>2018</v>
      </c>
      <c r="C189" t="s">
        <v>33</v>
      </c>
      <c r="D189" s="1">
        <v>131.96153846153845</v>
      </c>
      <c r="E189">
        <v>159.69999999999999</v>
      </c>
      <c r="F189" s="1">
        <v>132.86666666666665</v>
      </c>
      <c r="G189" s="1">
        <v>129.25</v>
      </c>
      <c r="H189">
        <v>126.8</v>
      </c>
      <c r="I189">
        <v>137.80000000000001</v>
      </c>
      <c r="J189">
        <v>128.6</v>
      </c>
      <c r="K189" s="1">
        <v>130.55000000000001</v>
      </c>
      <c r="L189">
        <f>SUM(Table2[[#This Row],[Food average]:[Miscelleneous and general index]])</f>
        <v>1077.5282051282052</v>
      </c>
    </row>
    <row r="190" spans="1:12" hidden="1" x14ac:dyDescent="0.25">
      <c r="A190" t="s">
        <v>31</v>
      </c>
      <c r="B190">
        <v>2018</v>
      </c>
      <c r="C190" t="s">
        <v>33</v>
      </c>
      <c r="D190" s="1">
        <v>135.07692307692307</v>
      </c>
      <c r="E190">
        <v>156.30000000000001</v>
      </c>
      <c r="F190" s="1">
        <v>141.20000000000002</v>
      </c>
      <c r="G190" s="1">
        <v>133.77500000000001</v>
      </c>
      <c r="H190">
        <v>130.4</v>
      </c>
      <c r="I190">
        <v>139.80000000000001</v>
      </c>
      <c r="J190">
        <v>131.25</v>
      </c>
      <c r="K190" s="1">
        <v>133.4</v>
      </c>
      <c r="L190">
        <f>SUM(Table2[[#This Row],[Food average]:[Miscelleneous and general index]])</f>
        <v>1101.2019230769231</v>
      </c>
    </row>
    <row r="191" spans="1:12" hidden="1" x14ac:dyDescent="0.25">
      <c r="A191" t="s">
        <v>28</v>
      </c>
      <c r="B191">
        <v>2018</v>
      </c>
      <c r="C191" t="s">
        <v>34</v>
      </c>
      <c r="D191" s="1">
        <v>136.92307692307693</v>
      </c>
      <c r="E191">
        <v>156.1</v>
      </c>
      <c r="F191" s="1">
        <v>147.5</v>
      </c>
      <c r="G191" s="1">
        <v>136.66666666666669</v>
      </c>
      <c r="H191">
        <v>136</v>
      </c>
      <c r="I191">
        <v>143.69999999999999</v>
      </c>
      <c r="J191">
        <v>134</v>
      </c>
      <c r="K191" s="1">
        <v>136.64999999999998</v>
      </c>
      <c r="L191">
        <f>SUM(Table2[[#This Row],[Food average]:[Miscelleneous and general index]])</f>
        <v>1127.5397435897435</v>
      </c>
    </row>
    <row r="192" spans="1:12" hidden="1" x14ac:dyDescent="0.25">
      <c r="A192" t="s">
        <v>30</v>
      </c>
      <c r="B192">
        <v>2018</v>
      </c>
      <c r="C192" t="s">
        <v>34</v>
      </c>
      <c r="D192" s="1">
        <v>132.30769230769232</v>
      </c>
      <c r="E192">
        <v>159.19999999999999</v>
      </c>
      <c r="F192" s="1">
        <v>133.80000000000001</v>
      </c>
      <c r="G192" s="1">
        <v>129.55000000000001</v>
      </c>
      <c r="H192">
        <v>127.6</v>
      </c>
      <c r="I192">
        <v>139.69999999999999</v>
      </c>
      <c r="J192">
        <v>129.44999999999999</v>
      </c>
      <c r="K192" s="1">
        <v>131.5</v>
      </c>
      <c r="L192">
        <f>SUM(Table2[[#This Row],[Food average]:[Miscelleneous and general index]])</f>
        <v>1083.1076923076923</v>
      </c>
    </row>
    <row r="193" spans="1:12" hidden="1" x14ac:dyDescent="0.25">
      <c r="A193" t="s">
        <v>31</v>
      </c>
      <c r="B193">
        <v>2018</v>
      </c>
      <c r="C193" t="s">
        <v>34</v>
      </c>
      <c r="D193" s="1">
        <v>135.16153846153847</v>
      </c>
      <c r="E193">
        <v>156.9</v>
      </c>
      <c r="F193" s="1">
        <v>142</v>
      </c>
      <c r="G193" s="1">
        <v>134.47499999999999</v>
      </c>
      <c r="H193">
        <v>131.30000000000001</v>
      </c>
      <c r="I193">
        <v>141.4</v>
      </c>
      <c r="J193">
        <v>132.19999999999999</v>
      </c>
      <c r="K193" s="1">
        <v>134.19999999999999</v>
      </c>
      <c r="L193">
        <f>SUM(Table2[[#This Row],[Food average]:[Miscelleneous and general index]])</f>
        <v>1107.6365384615385</v>
      </c>
    </row>
    <row r="194" spans="1:12" hidden="1" x14ac:dyDescent="0.25">
      <c r="A194" t="s">
        <v>28</v>
      </c>
      <c r="B194">
        <v>2018</v>
      </c>
      <c r="C194" t="s">
        <v>35</v>
      </c>
      <c r="D194" s="1">
        <v>137.1076923076923</v>
      </c>
      <c r="E194">
        <v>157</v>
      </c>
      <c r="F194" s="1">
        <v>148.23333333333332</v>
      </c>
      <c r="G194" s="1">
        <v>137.5</v>
      </c>
      <c r="H194">
        <v>136.80000000000001</v>
      </c>
      <c r="I194">
        <v>144.4</v>
      </c>
      <c r="J194">
        <v>134.80000000000001</v>
      </c>
      <c r="K194" s="1">
        <v>137.44999999999999</v>
      </c>
      <c r="L194">
        <f>SUM(Table2[[#This Row],[Food average]:[Miscelleneous and general index]])</f>
        <v>1133.2910256410257</v>
      </c>
    </row>
    <row r="195" spans="1:12" hidden="1" x14ac:dyDescent="0.25">
      <c r="A195" t="s">
        <v>30</v>
      </c>
      <c r="B195">
        <v>2018</v>
      </c>
      <c r="C195" t="s">
        <v>35</v>
      </c>
      <c r="D195" s="1">
        <v>132.53076923076921</v>
      </c>
      <c r="E195">
        <v>160.30000000000001</v>
      </c>
      <c r="F195" s="1">
        <v>134.5</v>
      </c>
      <c r="G195" s="1">
        <v>130.04999999999998</v>
      </c>
      <c r="H195">
        <v>128</v>
      </c>
      <c r="I195">
        <v>140.4</v>
      </c>
      <c r="J195">
        <v>130.05000000000001</v>
      </c>
      <c r="K195" s="1">
        <v>132.15</v>
      </c>
      <c r="L195">
        <f>SUM(Table2[[#This Row],[Food average]:[Miscelleneous and general index]])</f>
        <v>1087.9807692307693</v>
      </c>
    </row>
    <row r="196" spans="1:12" hidden="1" x14ac:dyDescent="0.25">
      <c r="A196" t="s">
        <v>31</v>
      </c>
      <c r="B196">
        <v>2018</v>
      </c>
      <c r="C196" t="s">
        <v>35</v>
      </c>
      <c r="D196" s="1">
        <v>135.36923076923077</v>
      </c>
      <c r="E196">
        <v>157.9</v>
      </c>
      <c r="F196" s="1">
        <v>142.69999999999999</v>
      </c>
      <c r="G196" s="1">
        <v>135.1</v>
      </c>
      <c r="H196">
        <v>131.80000000000001</v>
      </c>
      <c r="I196">
        <v>142.1</v>
      </c>
      <c r="J196">
        <v>132.94999999999999</v>
      </c>
      <c r="K196" s="1">
        <v>134.94999999999999</v>
      </c>
      <c r="L196">
        <f>SUM(Table2[[#This Row],[Food average]:[Miscelleneous and general index]])</f>
        <v>1112.8692307692309</v>
      </c>
    </row>
    <row r="197" spans="1:12" hidden="1" x14ac:dyDescent="0.25">
      <c r="A197" t="s">
        <v>28</v>
      </c>
      <c r="B197">
        <v>2018</v>
      </c>
      <c r="C197" t="s">
        <v>36</v>
      </c>
      <c r="D197" s="1">
        <v>137.71538461538461</v>
      </c>
      <c r="E197">
        <v>157.30000000000001</v>
      </c>
      <c r="F197" s="1">
        <v>148.76666666666668</v>
      </c>
      <c r="G197" s="1">
        <v>138.23333333333332</v>
      </c>
      <c r="H197">
        <v>137.80000000000001</v>
      </c>
      <c r="I197">
        <v>145.1</v>
      </c>
      <c r="J197">
        <v>134.9</v>
      </c>
      <c r="K197" s="1">
        <v>138.05000000000001</v>
      </c>
      <c r="L197">
        <f>SUM(Table2[[#This Row],[Food average]:[Miscelleneous and general index]])</f>
        <v>1137.8653846153845</v>
      </c>
    </row>
    <row r="198" spans="1:12" hidden="1" x14ac:dyDescent="0.25">
      <c r="A198" t="s">
        <v>30</v>
      </c>
      <c r="B198">
        <v>2018</v>
      </c>
      <c r="C198" t="s">
        <v>36</v>
      </c>
      <c r="D198" s="1">
        <v>134.40769230769232</v>
      </c>
      <c r="E198">
        <v>161</v>
      </c>
      <c r="F198" s="1">
        <v>135</v>
      </c>
      <c r="G198" s="1">
        <v>130.625</v>
      </c>
      <c r="H198">
        <v>128.5</v>
      </c>
      <c r="I198">
        <v>141.19999999999999</v>
      </c>
      <c r="J198">
        <v>130.39999999999998</v>
      </c>
      <c r="K198" s="1">
        <v>132.85</v>
      </c>
      <c r="L198">
        <f>SUM(Table2[[#This Row],[Food average]:[Miscelleneous and general index]])</f>
        <v>1093.9826923076923</v>
      </c>
    </row>
    <row r="199" spans="1:12" hidden="1" x14ac:dyDescent="0.25">
      <c r="A199" t="s">
        <v>31</v>
      </c>
      <c r="B199">
        <v>2018</v>
      </c>
      <c r="C199" t="s">
        <v>36</v>
      </c>
      <c r="D199" s="1">
        <v>136.46923076923079</v>
      </c>
      <c r="E199">
        <v>158.30000000000001</v>
      </c>
      <c r="F199" s="1">
        <v>143.23333333333332</v>
      </c>
      <c r="G199" s="1">
        <v>135.55000000000001</v>
      </c>
      <c r="H199">
        <v>132.6</v>
      </c>
      <c r="I199">
        <v>142.80000000000001</v>
      </c>
      <c r="J199">
        <v>133.14999999999998</v>
      </c>
      <c r="K199" s="1">
        <v>135.55000000000001</v>
      </c>
      <c r="L199">
        <f>SUM(Table2[[#This Row],[Food average]:[Miscelleneous and general index]])</f>
        <v>1117.6525641025644</v>
      </c>
    </row>
    <row r="200" spans="1:12" hidden="1" x14ac:dyDescent="0.25">
      <c r="A200" t="s">
        <v>28</v>
      </c>
      <c r="B200">
        <v>2018</v>
      </c>
      <c r="C200" t="s">
        <v>37</v>
      </c>
      <c r="D200" s="1">
        <v>139.26923076923077</v>
      </c>
      <c r="E200">
        <v>156.1</v>
      </c>
      <c r="F200" s="1">
        <v>149.06666666666669</v>
      </c>
      <c r="G200" s="1">
        <v>139.13333333333333</v>
      </c>
      <c r="H200">
        <v>138.4</v>
      </c>
      <c r="I200">
        <v>145.80000000000001</v>
      </c>
      <c r="J200">
        <v>135.19999999999999</v>
      </c>
      <c r="K200" s="1">
        <v>138.9</v>
      </c>
      <c r="L200">
        <f>SUM(Table2[[#This Row],[Food average]:[Miscelleneous and general index]])</f>
        <v>1141.8692307692309</v>
      </c>
    </row>
    <row r="201" spans="1:12" hidden="1" x14ac:dyDescent="0.25">
      <c r="A201" t="s">
        <v>30</v>
      </c>
      <c r="B201">
        <v>2018</v>
      </c>
      <c r="C201" t="s">
        <v>37</v>
      </c>
      <c r="D201" s="1">
        <v>136.23846153846154</v>
      </c>
      <c r="E201">
        <v>161.4</v>
      </c>
      <c r="F201" s="1">
        <v>135.46666666666667</v>
      </c>
      <c r="G201" s="1">
        <v>131.35</v>
      </c>
      <c r="H201">
        <v>129</v>
      </c>
      <c r="I201">
        <v>144</v>
      </c>
      <c r="J201">
        <v>130.89999999999998</v>
      </c>
      <c r="K201" s="1">
        <v>133.85</v>
      </c>
      <c r="L201">
        <f>SUM(Table2[[#This Row],[Food average]:[Miscelleneous and general index]])</f>
        <v>1102.2051282051282</v>
      </c>
    </row>
    <row r="202" spans="1:12" hidden="1" x14ac:dyDescent="0.25">
      <c r="A202" t="s">
        <v>31</v>
      </c>
      <c r="B202">
        <v>2018</v>
      </c>
      <c r="C202" t="s">
        <v>37</v>
      </c>
      <c r="D202" s="1">
        <v>138.1</v>
      </c>
      <c r="E202">
        <v>157.5</v>
      </c>
      <c r="F202" s="1">
        <v>143.60000000000002</v>
      </c>
      <c r="G202" s="1">
        <v>136.375</v>
      </c>
      <c r="H202">
        <v>133.1</v>
      </c>
      <c r="I202">
        <v>144.69999999999999</v>
      </c>
      <c r="J202">
        <v>133.55000000000001</v>
      </c>
      <c r="K202" s="1">
        <v>136.5</v>
      </c>
      <c r="L202">
        <f>SUM(Table2[[#This Row],[Food average]:[Miscelleneous and general index]])</f>
        <v>1123.425</v>
      </c>
    </row>
    <row r="203" spans="1:12" hidden="1" x14ac:dyDescent="0.25">
      <c r="A203" t="s">
        <v>28</v>
      </c>
      <c r="B203">
        <v>2018</v>
      </c>
      <c r="C203" t="s">
        <v>38</v>
      </c>
      <c r="D203" s="1">
        <v>139.90769230769232</v>
      </c>
      <c r="E203">
        <v>156.4</v>
      </c>
      <c r="F203" s="1">
        <v>149.73333333333332</v>
      </c>
      <c r="G203" s="1">
        <v>139.93333333333334</v>
      </c>
      <c r="H203">
        <v>138.6</v>
      </c>
      <c r="I203">
        <v>146.9</v>
      </c>
      <c r="J203">
        <v>135.35000000000002</v>
      </c>
      <c r="K203" s="1">
        <v>139.55000000000001</v>
      </c>
      <c r="L203">
        <f>SUM(Table2[[#This Row],[Food average]:[Miscelleneous and general index]])</f>
        <v>1146.374358974359</v>
      </c>
    </row>
    <row r="204" spans="1:12" hidden="1" x14ac:dyDescent="0.25">
      <c r="A204" t="s">
        <v>30</v>
      </c>
      <c r="B204">
        <v>2018</v>
      </c>
      <c r="C204" t="s">
        <v>38</v>
      </c>
      <c r="D204" s="1">
        <v>135.96923076923076</v>
      </c>
      <c r="E204">
        <v>162.1</v>
      </c>
      <c r="F204" s="1">
        <v>135.76666666666668</v>
      </c>
      <c r="G204" s="1">
        <v>132.375</v>
      </c>
      <c r="H204">
        <v>129.80000000000001</v>
      </c>
      <c r="I204">
        <v>145.30000000000001</v>
      </c>
      <c r="J204">
        <v>131.60000000000002</v>
      </c>
      <c r="K204" s="1">
        <v>134.5</v>
      </c>
      <c r="L204">
        <f>SUM(Table2[[#This Row],[Food average]:[Miscelleneous and general index]])</f>
        <v>1107.4108974358974</v>
      </c>
    </row>
    <row r="205" spans="1:12" hidden="1" x14ac:dyDescent="0.25">
      <c r="A205" t="s">
        <v>31</v>
      </c>
      <c r="B205">
        <v>2018</v>
      </c>
      <c r="C205" t="s">
        <v>38</v>
      </c>
      <c r="D205" s="1">
        <v>138.36153846153849</v>
      </c>
      <c r="E205">
        <v>157.9</v>
      </c>
      <c r="F205" s="1">
        <v>144.06666666666669</v>
      </c>
      <c r="G205" s="1">
        <v>137.29999999999998</v>
      </c>
      <c r="H205">
        <v>133.6</v>
      </c>
      <c r="I205">
        <v>146</v>
      </c>
      <c r="J205">
        <v>133.89999999999998</v>
      </c>
      <c r="K205" s="1">
        <v>137.15</v>
      </c>
      <c r="L205">
        <f>SUM(Table2[[#This Row],[Food average]:[Miscelleneous and general index]])</f>
        <v>1128.2782051282052</v>
      </c>
    </row>
    <row r="206" spans="1:12" hidden="1" x14ac:dyDescent="0.25">
      <c r="A206" t="s">
        <v>28</v>
      </c>
      <c r="B206">
        <v>2018</v>
      </c>
      <c r="C206" t="s">
        <v>39</v>
      </c>
      <c r="D206" s="1">
        <v>138.44615384615386</v>
      </c>
      <c r="E206">
        <v>157.69999999999999</v>
      </c>
      <c r="F206" s="1">
        <v>149.83333333333334</v>
      </c>
      <c r="G206" s="1">
        <v>140.96666666666667</v>
      </c>
      <c r="H206">
        <v>140</v>
      </c>
      <c r="I206">
        <v>147.6</v>
      </c>
      <c r="J206">
        <v>136</v>
      </c>
      <c r="K206" s="1">
        <v>139.75</v>
      </c>
      <c r="L206">
        <f>SUM(Table2[[#This Row],[Food average]:[Miscelleneous and general index]])</f>
        <v>1150.2961538461541</v>
      </c>
    </row>
    <row r="207" spans="1:12" hidden="1" x14ac:dyDescent="0.25">
      <c r="A207" t="s">
        <v>30</v>
      </c>
      <c r="B207">
        <v>2018</v>
      </c>
      <c r="C207" t="s">
        <v>39</v>
      </c>
      <c r="D207" s="1">
        <v>134.49230769230769</v>
      </c>
      <c r="E207">
        <v>163.30000000000001</v>
      </c>
      <c r="F207" s="1">
        <v>136.4</v>
      </c>
      <c r="G207" s="1">
        <v>133.47499999999999</v>
      </c>
      <c r="H207">
        <v>130.19999999999999</v>
      </c>
      <c r="I207">
        <v>145.19999999999999</v>
      </c>
      <c r="J207">
        <v>132.5</v>
      </c>
      <c r="K207" s="1">
        <v>135</v>
      </c>
      <c r="L207">
        <f>SUM(Table2[[#This Row],[Food average]:[Miscelleneous and general index]])</f>
        <v>1110.5673076923078</v>
      </c>
    </row>
    <row r="208" spans="1:12" hidden="1" x14ac:dyDescent="0.25">
      <c r="A208" t="s">
        <v>31</v>
      </c>
      <c r="B208">
        <v>2018</v>
      </c>
      <c r="C208" t="s">
        <v>39</v>
      </c>
      <c r="D208" s="1">
        <v>136.88461538461539</v>
      </c>
      <c r="E208">
        <v>159.19999999999999</v>
      </c>
      <c r="F208" s="1">
        <v>144.43333333333331</v>
      </c>
      <c r="G208" s="1">
        <v>138.32499999999999</v>
      </c>
      <c r="H208">
        <v>134.5</v>
      </c>
      <c r="I208">
        <v>146.19999999999999</v>
      </c>
      <c r="J208">
        <v>134.65</v>
      </c>
      <c r="K208" s="1">
        <v>137.44999999999999</v>
      </c>
      <c r="L208">
        <f>SUM(Table2[[#This Row],[Food average]:[Miscelleneous and general index]])</f>
        <v>1131.6429487179487</v>
      </c>
    </row>
    <row r="209" spans="1:12" hidden="1" x14ac:dyDescent="0.25">
      <c r="A209" t="s">
        <v>28</v>
      </c>
      <c r="B209">
        <v>2018</v>
      </c>
      <c r="C209" t="s">
        <v>40</v>
      </c>
      <c r="D209" s="1">
        <v>137.09230769230768</v>
      </c>
      <c r="E209">
        <v>159.6</v>
      </c>
      <c r="F209" s="1">
        <v>148.33333333333334</v>
      </c>
      <c r="G209" s="1">
        <v>142.66666666666666</v>
      </c>
      <c r="H209">
        <v>140.1</v>
      </c>
      <c r="I209">
        <v>148</v>
      </c>
      <c r="J209">
        <v>139.60000000000002</v>
      </c>
      <c r="K209" s="1">
        <v>141</v>
      </c>
      <c r="L209">
        <f>SUM(Table2[[#This Row],[Food average]:[Miscelleneous and general index]])</f>
        <v>1156.3923076923077</v>
      </c>
    </row>
    <row r="210" spans="1:12" hidden="1" x14ac:dyDescent="0.25">
      <c r="A210" t="s">
        <v>30</v>
      </c>
      <c r="B210">
        <v>2018</v>
      </c>
      <c r="C210" t="s">
        <v>40</v>
      </c>
      <c r="D210" s="1">
        <v>134.93076923076922</v>
      </c>
      <c r="E210">
        <v>164</v>
      </c>
      <c r="F210" s="1">
        <v>137</v>
      </c>
      <c r="G210" s="1">
        <v>134.52500000000001</v>
      </c>
      <c r="H210">
        <v>130.69999999999999</v>
      </c>
      <c r="I210">
        <v>145.5</v>
      </c>
      <c r="J210">
        <v>133.30000000000001</v>
      </c>
      <c r="K210" s="1">
        <v>135.69999999999999</v>
      </c>
      <c r="L210">
        <f>SUM(Table2[[#This Row],[Food average]:[Miscelleneous and general index]])</f>
        <v>1115.6557692307692</v>
      </c>
    </row>
    <row r="211" spans="1:12" hidden="1" x14ac:dyDescent="0.25">
      <c r="A211" t="s">
        <v>31</v>
      </c>
      <c r="B211">
        <v>2018</v>
      </c>
      <c r="C211" t="s">
        <v>40</v>
      </c>
      <c r="D211" s="1">
        <v>136.63076923076923</v>
      </c>
      <c r="E211">
        <v>162.6</v>
      </c>
      <c r="F211" s="1">
        <v>144.66666666666666</v>
      </c>
      <c r="G211" s="1">
        <v>139.97500000000002</v>
      </c>
      <c r="H211">
        <v>136.5</v>
      </c>
      <c r="I211">
        <v>147.80000000000001</v>
      </c>
      <c r="J211">
        <v>137.05000000000001</v>
      </c>
      <c r="K211" s="1">
        <v>138.55000000000001</v>
      </c>
      <c r="L211">
        <f>SUM(Table2[[#This Row],[Food average]:[Miscelleneous and general index]])</f>
        <v>1143.7724358974358</v>
      </c>
    </row>
    <row r="212" spans="1:12" hidden="1" x14ac:dyDescent="0.25">
      <c r="A212" t="s">
        <v>28</v>
      </c>
      <c r="B212">
        <v>2018</v>
      </c>
      <c r="C212" t="s">
        <v>42</v>
      </c>
      <c r="D212" s="1">
        <v>137.49999999999997</v>
      </c>
      <c r="E212">
        <v>161.9</v>
      </c>
      <c r="F212" s="1">
        <v>149.33333333333334</v>
      </c>
      <c r="G212" s="1">
        <v>142.86666666666667</v>
      </c>
      <c r="H212">
        <v>143.1</v>
      </c>
      <c r="I212">
        <v>150.19999999999999</v>
      </c>
      <c r="J212">
        <v>139.25</v>
      </c>
      <c r="K212" s="1">
        <v>141.25</v>
      </c>
      <c r="L212">
        <f>SUM(Table2[[#This Row],[Food average]:[Miscelleneous and general index]])</f>
        <v>1165.4000000000001</v>
      </c>
    </row>
    <row r="213" spans="1:12" hidden="1" x14ac:dyDescent="0.25">
      <c r="A213" t="s">
        <v>30</v>
      </c>
      <c r="B213">
        <v>2018</v>
      </c>
      <c r="C213" t="s">
        <v>42</v>
      </c>
      <c r="D213" s="1">
        <v>135.19230769230768</v>
      </c>
      <c r="E213">
        <v>164.4</v>
      </c>
      <c r="F213" s="1">
        <v>137.70000000000002</v>
      </c>
      <c r="G213" s="1">
        <v>135.15</v>
      </c>
      <c r="H213">
        <v>131.30000000000001</v>
      </c>
      <c r="I213">
        <v>146.1</v>
      </c>
      <c r="J213">
        <v>133.65</v>
      </c>
      <c r="K213" s="1">
        <v>135.6</v>
      </c>
      <c r="L213">
        <f>SUM(Table2[[#This Row],[Food average]:[Miscelleneous and general index]])</f>
        <v>1119.0923076923077</v>
      </c>
    </row>
    <row r="214" spans="1:12" hidden="1" x14ac:dyDescent="0.25">
      <c r="A214" t="s">
        <v>31</v>
      </c>
      <c r="B214">
        <v>2018</v>
      </c>
      <c r="C214" t="s">
        <v>42</v>
      </c>
      <c r="D214" s="1">
        <v>136.59230769230771</v>
      </c>
      <c r="E214">
        <v>162.6</v>
      </c>
      <c r="F214" s="1">
        <v>144.6</v>
      </c>
      <c r="G214" s="1">
        <v>139.92500000000001</v>
      </c>
      <c r="H214">
        <v>136.5</v>
      </c>
      <c r="I214">
        <v>147.80000000000001</v>
      </c>
      <c r="J214">
        <v>137.05000000000001</v>
      </c>
      <c r="K214" s="1">
        <v>138.55000000000001</v>
      </c>
      <c r="L214">
        <f>SUM(Table2[[#This Row],[Food average]:[Miscelleneous and general index]])</f>
        <v>1143.6173076923076</v>
      </c>
    </row>
    <row r="215" spans="1:12" hidden="1" x14ac:dyDescent="0.25">
      <c r="A215" t="s">
        <v>28</v>
      </c>
      <c r="B215">
        <v>2018</v>
      </c>
      <c r="C215" t="s">
        <v>43</v>
      </c>
      <c r="D215" s="1">
        <v>136.3923076923077</v>
      </c>
      <c r="E215">
        <v>162.4</v>
      </c>
      <c r="F215" s="1">
        <v>149.43333333333334</v>
      </c>
      <c r="G215" s="1">
        <v>142.46666666666667</v>
      </c>
      <c r="H215">
        <v>143.30000000000001</v>
      </c>
      <c r="I215">
        <v>155.1</v>
      </c>
      <c r="J215">
        <v>141.39999999999998</v>
      </c>
      <c r="K215" s="1">
        <v>141.75</v>
      </c>
      <c r="L215">
        <f>SUM(Table2[[#This Row],[Food average]:[Miscelleneous and general index]])</f>
        <v>1172.2423076923078</v>
      </c>
    </row>
    <row r="216" spans="1:12" hidden="1" x14ac:dyDescent="0.25">
      <c r="A216" t="s">
        <v>30</v>
      </c>
      <c r="B216">
        <v>2018</v>
      </c>
      <c r="C216" t="s">
        <v>43</v>
      </c>
      <c r="D216" s="1">
        <v>134.35384615384615</v>
      </c>
      <c r="E216">
        <v>164.6</v>
      </c>
      <c r="F216" s="1">
        <v>137.93333333333334</v>
      </c>
      <c r="G216" s="1">
        <v>133.47499999999999</v>
      </c>
      <c r="H216">
        <v>131.69999999999999</v>
      </c>
      <c r="I216">
        <v>146.5</v>
      </c>
      <c r="J216">
        <v>134.05000000000001</v>
      </c>
      <c r="K216" s="1">
        <v>134.85</v>
      </c>
      <c r="L216">
        <f>SUM(Table2[[#This Row],[Food average]:[Miscelleneous and general index]])</f>
        <v>1117.4621794871794</v>
      </c>
    </row>
    <row r="217" spans="1:12" hidden="1" x14ac:dyDescent="0.25">
      <c r="A217" t="s">
        <v>31</v>
      </c>
      <c r="B217">
        <v>2018</v>
      </c>
      <c r="C217" t="s">
        <v>43</v>
      </c>
      <c r="D217" s="1">
        <v>135.59999999999997</v>
      </c>
      <c r="E217">
        <v>163</v>
      </c>
      <c r="F217" s="1">
        <v>144.76666666666668</v>
      </c>
      <c r="G217" s="1">
        <v>139</v>
      </c>
      <c r="H217">
        <v>136.80000000000001</v>
      </c>
      <c r="I217">
        <v>150.1</v>
      </c>
      <c r="J217">
        <v>138.55000000000001</v>
      </c>
      <c r="K217" s="1">
        <v>138.44999999999999</v>
      </c>
      <c r="L217">
        <f>SUM(Table2[[#This Row],[Food average]:[Miscelleneous and general index]])</f>
        <v>1146.2666666666669</v>
      </c>
    </row>
    <row r="218" spans="1:12" hidden="1" x14ac:dyDescent="0.25">
      <c r="A218" t="s">
        <v>28</v>
      </c>
      <c r="B218">
        <v>2019</v>
      </c>
      <c r="C218" t="s">
        <v>29</v>
      </c>
      <c r="D218" s="1">
        <v>135.35384615384618</v>
      </c>
      <c r="E218">
        <v>162.69999999999999</v>
      </c>
      <c r="F218" s="1">
        <v>148.53333333333333</v>
      </c>
      <c r="G218" s="1">
        <v>141.63333333333333</v>
      </c>
      <c r="H218">
        <v>142.9</v>
      </c>
      <c r="I218">
        <v>155.19999999999999</v>
      </c>
      <c r="J218">
        <v>141.55000000000001</v>
      </c>
      <c r="K218" s="1">
        <v>141.35</v>
      </c>
      <c r="L218">
        <f>SUM(Table2[[#This Row],[Food average]:[Miscelleneous and general index]])</f>
        <v>1169.2205128205126</v>
      </c>
    </row>
    <row r="219" spans="1:12" hidden="1" x14ac:dyDescent="0.25">
      <c r="A219" t="s">
        <v>30</v>
      </c>
      <c r="B219">
        <v>2019</v>
      </c>
      <c r="C219" t="s">
        <v>29</v>
      </c>
      <c r="D219" s="1">
        <v>134.17692307692309</v>
      </c>
      <c r="E219">
        <v>164.7</v>
      </c>
      <c r="F219" s="1">
        <v>138.16666666666666</v>
      </c>
      <c r="G219" s="1">
        <v>132.79999999999998</v>
      </c>
      <c r="H219">
        <v>131.9</v>
      </c>
      <c r="I219">
        <v>146.6</v>
      </c>
      <c r="J219">
        <v>134.75</v>
      </c>
      <c r="K219" s="1">
        <v>134.9</v>
      </c>
      <c r="L219">
        <f>SUM(Table2[[#This Row],[Food average]:[Miscelleneous and general index]])</f>
        <v>1117.9935897435896</v>
      </c>
    </row>
    <row r="220" spans="1:12" x14ac:dyDescent="0.25">
      <c r="A220" t="s">
        <v>31</v>
      </c>
      <c r="B220">
        <v>2019</v>
      </c>
      <c r="C220" t="s">
        <v>29</v>
      </c>
      <c r="D220" s="1">
        <v>134.87692307692308</v>
      </c>
      <c r="E220">
        <v>163.19999999999999</v>
      </c>
      <c r="F220" s="1">
        <v>144.33333333333334</v>
      </c>
      <c r="G220" s="1">
        <v>138.52499999999998</v>
      </c>
      <c r="H220">
        <v>136.69999999999999</v>
      </c>
      <c r="I220">
        <v>150.19999999999999</v>
      </c>
      <c r="J220">
        <v>138.94999999999999</v>
      </c>
      <c r="K220" s="1">
        <v>138.25</v>
      </c>
      <c r="L220">
        <f>SUM(Table2[[#This Row],[Food average]:[Miscelleneous and general index]])</f>
        <v>1145.0352564102566</v>
      </c>
    </row>
    <row r="221" spans="1:12" hidden="1" x14ac:dyDescent="0.25">
      <c r="A221" t="s">
        <v>28</v>
      </c>
      <c r="B221">
        <v>2019</v>
      </c>
      <c r="C221" t="s">
        <v>32</v>
      </c>
      <c r="D221" s="1">
        <v>135.3692307692308</v>
      </c>
      <c r="E221">
        <v>162.80000000000001</v>
      </c>
      <c r="F221" s="1">
        <v>148.83333333333334</v>
      </c>
      <c r="G221" s="1">
        <v>141.53333333333333</v>
      </c>
      <c r="H221">
        <v>143.4</v>
      </c>
      <c r="I221">
        <v>155.5</v>
      </c>
      <c r="J221">
        <v>142.4</v>
      </c>
      <c r="K221" s="1">
        <v>141.6</v>
      </c>
      <c r="L221">
        <f>SUM(Table2[[#This Row],[Food average]:[Miscelleneous and general index]])</f>
        <v>1171.4358974358975</v>
      </c>
    </row>
    <row r="222" spans="1:12" hidden="1" x14ac:dyDescent="0.25">
      <c r="A222" t="s">
        <v>30</v>
      </c>
      <c r="B222">
        <v>2019</v>
      </c>
      <c r="C222" t="s">
        <v>32</v>
      </c>
      <c r="D222" s="1">
        <v>134.95384615384617</v>
      </c>
      <c r="E222">
        <v>164.9</v>
      </c>
      <c r="F222" s="1">
        <v>138.5</v>
      </c>
      <c r="G222" s="1">
        <v>132.85000000000002</v>
      </c>
      <c r="H222">
        <v>132.19999999999999</v>
      </c>
      <c r="I222">
        <v>146.6</v>
      </c>
      <c r="J222">
        <v>135.75</v>
      </c>
      <c r="K222" s="1">
        <v>135.5</v>
      </c>
      <c r="L222">
        <f>SUM(Table2[[#This Row],[Food average]:[Miscelleneous and general index]])</f>
        <v>1121.2538461538461</v>
      </c>
    </row>
    <row r="223" spans="1:12" x14ac:dyDescent="0.25">
      <c r="A223" t="s">
        <v>31</v>
      </c>
      <c r="B223">
        <v>2019</v>
      </c>
      <c r="C223" t="s">
        <v>32</v>
      </c>
      <c r="D223" s="1">
        <v>135.16153846153844</v>
      </c>
      <c r="E223">
        <v>163.4</v>
      </c>
      <c r="F223" s="1">
        <v>144.63333333333333</v>
      </c>
      <c r="G223" s="1">
        <v>138.625</v>
      </c>
      <c r="H223">
        <v>137.1</v>
      </c>
      <c r="I223">
        <v>150.30000000000001</v>
      </c>
      <c r="J223">
        <v>139.85</v>
      </c>
      <c r="K223" s="1">
        <v>138.65</v>
      </c>
      <c r="L223">
        <f>SUM(Table2[[#This Row],[Food average]:[Miscelleneous and general index]])</f>
        <v>1147.7198717948718</v>
      </c>
    </row>
    <row r="224" spans="1:12" hidden="1" x14ac:dyDescent="0.25">
      <c r="A224" t="s">
        <v>28</v>
      </c>
      <c r="B224">
        <v>2019</v>
      </c>
      <c r="C224" t="s">
        <v>33</v>
      </c>
      <c r="D224" s="1">
        <v>135.4769230769231</v>
      </c>
      <c r="E224">
        <v>162.9</v>
      </c>
      <c r="F224" s="1">
        <v>149</v>
      </c>
      <c r="G224" s="1">
        <v>142.1</v>
      </c>
      <c r="H224">
        <v>143.80000000000001</v>
      </c>
      <c r="I224">
        <v>155.5</v>
      </c>
      <c r="J224">
        <v>142.19999999999999</v>
      </c>
      <c r="K224" s="1">
        <v>141.80000000000001</v>
      </c>
      <c r="L224">
        <f>SUM(Table2[[#This Row],[Food average]:[Miscelleneous and general index]])</f>
        <v>1172.7769230769231</v>
      </c>
    </row>
    <row r="225" spans="1:12" hidden="1" x14ac:dyDescent="0.25">
      <c r="A225" t="s">
        <v>30</v>
      </c>
      <c r="B225">
        <v>2019</v>
      </c>
      <c r="C225" t="s">
        <v>33</v>
      </c>
      <c r="D225" s="1">
        <v>136.03076923076924</v>
      </c>
      <c r="E225">
        <v>165.3</v>
      </c>
      <c r="F225" s="1">
        <v>138.76666666666665</v>
      </c>
      <c r="G225" s="1">
        <v>133.625</v>
      </c>
      <c r="H225">
        <v>133</v>
      </c>
      <c r="I225">
        <v>146.69999999999999</v>
      </c>
      <c r="J225">
        <v>135.85</v>
      </c>
      <c r="K225" s="1">
        <v>136.15</v>
      </c>
      <c r="L225">
        <f>SUM(Table2[[#This Row],[Food average]:[Miscelleneous and general index]])</f>
        <v>1125.4224358974359</v>
      </c>
    </row>
    <row r="226" spans="1:12" x14ac:dyDescent="0.25">
      <c r="A226" t="s">
        <v>31</v>
      </c>
      <c r="B226">
        <v>2019</v>
      </c>
      <c r="C226" t="s">
        <v>33</v>
      </c>
      <c r="D226" s="1">
        <v>135.6076923076923</v>
      </c>
      <c r="E226">
        <v>163.5</v>
      </c>
      <c r="F226" s="1">
        <v>144.83333333333334</v>
      </c>
      <c r="G226" s="1">
        <v>139.27500000000001</v>
      </c>
      <c r="H226">
        <v>137.69999999999999</v>
      </c>
      <c r="I226">
        <v>150.30000000000001</v>
      </c>
      <c r="J226">
        <v>139.80000000000001</v>
      </c>
      <c r="K226" s="1">
        <v>139.05000000000001</v>
      </c>
      <c r="L226">
        <f>SUM(Table2[[#This Row],[Food average]:[Miscelleneous and general index]])</f>
        <v>1150.0660256410256</v>
      </c>
    </row>
    <row r="227" spans="1:12" hidden="1" x14ac:dyDescent="0.25">
      <c r="A227" t="s">
        <v>28</v>
      </c>
      <c r="B227">
        <v>2019</v>
      </c>
      <c r="C227" t="s">
        <v>35</v>
      </c>
      <c r="D227" s="1">
        <v>137.0846153846154</v>
      </c>
      <c r="E227">
        <v>163.30000000000001</v>
      </c>
      <c r="F227" s="1">
        <v>149.53333333333333</v>
      </c>
      <c r="G227" s="1">
        <v>142.19999999999999</v>
      </c>
      <c r="H227">
        <v>145.9</v>
      </c>
      <c r="I227">
        <v>156.69999999999999</v>
      </c>
      <c r="J227">
        <v>142.60000000000002</v>
      </c>
      <c r="K227" s="1">
        <v>142.65</v>
      </c>
      <c r="L227">
        <f>SUM(Table2[[#This Row],[Food average]:[Miscelleneous and general index]])</f>
        <v>1179.9679487179487</v>
      </c>
    </row>
    <row r="228" spans="1:12" hidden="1" x14ac:dyDescent="0.25">
      <c r="A228" t="s">
        <v>30</v>
      </c>
      <c r="B228">
        <v>2019</v>
      </c>
      <c r="C228" t="s">
        <v>35</v>
      </c>
      <c r="D228" s="1">
        <v>139.34615384615387</v>
      </c>
      <c r="E228">
        <v>166.2</v>
      </c>
      <c r="F228" s="1">
        <v>139.29999999999998</v>
      </c>
      <c r="G228" s="1">
        <v>134.19999999999999</v>
      </c>
      <c r="H228">
        <v>134</v>
      </c>
      <c r="I228">
        <v>148</v>
      </c>
      <c r="J228">
        <v>136.19999999999999</v>
      </c>
      <c r="K228" s="1">
        <v>137.4</v>
      </c>
      <c r="L228">
        <f>SUM(Table2[[#This Row],[Food average]:[Miscelleneous and general index]])</f>
        <v>1134.646153846154</v>
      </c>
    </row>
    <row r="229" spans="1:12" x14ac:dyDescent="0.25">
      <c r="A229" t="s">
        <v>31</v>
      </c>
      <c r="B229">
        <v>2019</v>
      </c>
      <c r="C229" t="s">
        <v>35</v>
      </c>
      <c r="D229" s="1">
        <v>137.83846153846156</v>
      </c>
      <c r="E229">
        <v>164.1</v>
      </c>
      <c r="F229" s="1">
        <v>145.36666666666667</v>
      </c>
      <c r="G229" s="1">
        <v>139.75</v>
      </c>
      <c r="H229">
        <v>139.19999999999999</v>
      </c>
      <c r="I229">
        <v>151.6</v>
      </c>
      <c r="J229">
        <v>140.15</v>
      </c>
      <c r="K229" s="1">
        <v>140.1</v>
      </c>
      <c r="L229">
        <f>SUM(Table2[[#This Row],[Food average]:[Miscelleneous and general index]])</f>
        <v>1158.105128205128</v>
      </c>
    </row>
    <row r="230" spans="1:12" hidden="1" x14ac:dyDescent="0.25">
      <c r="A230" t="s">
        <v>28</v>
      </c>
      <c r="B230">
        <v>2019</v>
      </c>
      <c r="C230" t="s">
        <v>36</v>
      </c>
      <c r="D230" s="1">
        <v>138.78461538461536</v>
      </c>
      <c r="E230">
        <v>164.2</v>
      </c>
      <c r="F230" s="1">
        <v>149.53333333333333</v>
      </c>
      <c r="G230" s="1">
        <v>142.53333333333333</v>
      </c>
      <c r="H230">
        <v>146.4</v>
      </c>
      <c r="I230">
        <v>157.69999999999999</v>
      </c>
      <c r="J230">
        <v>143.25</v>
      </c>
      <c r="K230" s="1">
        <v>143.44999999999999</v>
      </c>
      <c r="L230">
        <f>SUM(Table2[[#This Row],[Food average]:[Miscelleneous and general index]])</f>
        <v>1185.8512820512819</v>
      </c>
    </row>
    <row r="231" spans="1:12" hidden="1" x14ac:dyDescent="0.25">
      <c r="A231" t="s">
        <v>30</v>
      </c>
      <c r="B231">
        <v>2019</v>
      </c>
      <c r="C231" t="s">
        <v>36</v>
      </c>
      <c r="D231" s="1">
        <v>141.0230769230769</v>
      </c>
      <c r="E231">
        <v>166.7</v>
      </c>
      <c r="F231" s="1">
        <v>139.46666666666667</v>
      </c>
      <c r="G231" s="1">
        <v>134.22499999999999</v>
      </c>
      <c r="H231">
        <v>134.30000000000001</v>
      </c>
      <c r="I231">
        <v>148.9</v>
      </c>
      <c r="J231">
        <v>137</v>
      </c>
      <c r="K231" s="1">
        <v>137.85</v>
      </c>
      <c r="L231">
        <f>SUM(Table2[[#This Row],[Food average]:[Miscelleneous and general index]])</f>
        <v>1139.4647435897436</v>
      </c>
    </row>
    <row r="232" spans="1:12" x14ac:dyDescent="0.25">
      <c r="A232" t="s">
        <v>31</v>
      </c>
      <c r="B232">
        <v>2019</v>
      </c>
      <c r="C232" t="s">
        <v>36</v>
      </c>
      <c r="D232" s="1">
        <v>139.54615384615386</v>
      </c>
      <c r="E232">
        <v>164.9</v>
      </c>
      <c r="F232" s="1">
        <v>145.46666666666667</v>
      </c>
      <c r="G232" s="1">
        <v>139.75</v>
      </c>
      <c r="H232">
        <v>139.6</v>
      </c>
      <c r="I232">
        <v>152.5</v>
      </c>
      <c r="J232">
        <v>140.85000000000002</v>
      </c>
      <c r="K232" s="1">
        <v>140.75</v>
      </c>
      <c r="L232">
        <f>SUM(Table2[[#This Row],[Food average]:[Miscelleneous and general index]])</f>
        <v>1163.3628205128207</v>
      </c>
    </row>
    <row r="233" spans="1:12" hidden="1" x14ac:dyDescent="0.25">
      <c r="A233" t="s">
        <v>28</v>
      </c>
      <c r="B233">
        <v>2019</v>
      </c>
      <c r="C233" t="s">
        <v>37</v>
      </c>
      <c r="D233" s="1">
        <v>140.53076923076921</v>
      </c>
      <c r="E233">
        <v>164.5</v>
      </c>
      <c r="F233" s="1">
        <v>149.70000000000002</v>
      </c>
      <c r="G233" s="1">
        <v>142.66666666666666</v>
      </c>
      <c r="H233">
        <v>147.5</v>
      </c>
      <c r="I233">
        <v>159.1</v>
      </c>
      <c r="J233">
        <v>144.14999999999998</v>
      </c>
      <c r="K233" s="1">
        <v>144.55000000000001</v>
      </c>
      <c r="L233">
        <f>SUM(Table2[[#This Row],[Food average]:[Miscelleneous and general index]])</f>
        <v>1192.697435897436</v>
      </c>
    </row>
    <row r="234" spans="1:12" hidden="1" x14ac:dyDescent="0.25">
      <c r="A234" t="s">
        <v>30</v>
      </c>
      <c r="B234">
        <v>2019</v>
      </c>
      <c r="C234" t="s">
        <v>37</v>
      </c>
      <c r="D234" s="1">
        <v>142.87692307692308</v>
      </c>
      <c r="E234">
        <v>167.2</v>
      </c>
      <c r="F234" s="1">
        <v>139.76666666666668</v>
      </c>
      <c r="G234" s="1">
        <v>133.97499999999999</v>
      </c>
      <c r="H234">
        <v>135</v>
      </c>
      <c r="I234">
        <v>150.4</v>
      </c>
      <c r="J234">
        <v>137.94999999999999</v>
      </c>
      <c r="K234" s="1">
        <v>138.9</v>
      </c>
      <c r="L234">
        <f>SUM(Table2[[#This Row],[Food average]:[Miscelleneous and general index]])</f>
        <v>1146.0685897435899</v>
      </c>
    </row>
    <row r="235" spans="1:12" x14ac:dyDescent="0.25">
      <c r="A235" t="s">
        <v>31</v>
      </c>
      <c r="B235">
        <v>2019</v>
      </c>
      <c r="C235" t="s">
        <v>37</v>
      </c>
      <c r="D235" s="1">
        <v>141.34615384615384</v>
      </c>
      <c r="E235">
        <v>165.2</v>
      </c>
      <c r="F235" s="1">
        <v>145.66666666666666</v>
      </c>
      <c r="G235" s="1">
        <v>139.92499999999998</v>
      </c>
      <c r="H235">
        <v>140.5</v>
      </c>
      <c r="I235">
        <v>154</v>
      </c>
      <c r="J235">
        <v>141.80000000000001</v>
      </c>
      <c r="K235" s="1">
        <v>141.85</v>
      </c>
      <c r="L235">
        <f>SUM(Table2[[#This Row],[Food average]:[Miscelleneous and general index]])</f>
        <v>1170.2878205128204</v>
      </c>
    </row>
    <row r="236" spans="1:12" hidden="1" x14ac:dyDescent="0.25">
      <c r="A236" t="s">
        <v>28</v>
      </c>
      <c r="B236">
        <v>2019</v>
      </c>
      <c r="C236" t="s">
        <v>38</v>
      </c>
      <c r="D236" s="1">
        <v>141.11538461538464</v>
      </c>
      <c r="E236">
        <v>165.1</v>
      </c>
      <c r="F236" s="1">
        <v>149.83333333333334</v>
      </c>
      <c r="G236" s="1">
        <v>142.66666666666666</v>
      </c>
      <c r="H236">
        <v>148</v>
      </c>
      <c r="I236">
        <v>159.69999999999999</v>
      </c>
      <c r="J236">
        <v>145.75</v>
      </c>
      <c r="K236" s="1">
        <v>145.30000000000001</v>
      </c>
      <c r="L236">
        <f>SUM(Table2[[#This Row],[Food average]:[Miscelleneous and general index]])</f>
        <v>1197.4653846153847</v>
      </c>
    </row>
    <row r="237" spans="1:12" hidden="1" x14ac:dyDescent="0.25">
      <c r="A237" t="s">
        <v>30</v>
      </c>
      <c r="B237">
        <v>2019</v>
      </c>
      <c r="C237" t="s">
        <v>38</v>
      </c>
      <c r="D237" s="1">
        <v>143.77692307692308</v>
      </c>
      <c r="E237">
        <v>167.9</v>
      </c>
      <c r="F237" s="1">
        <v>140.06666666666666</v>
      </c>
      <c r="G237" s="1">
        <v>134</v>
      </c>
      <c r="H237">
        <v>135.4</v>
      </c>
      <c r="I237">
        <v>151.5</v>
      </c>
      <c r="J237">
        <v>139.65</v>
      </c>
      <c r="K237" s="1">
        <v>139.75</v>
      </c>
      <c r="L237">
        <f>SUM(Table2[[#This Row],[Food average]:[Miscelleneous and general index]])</f>
        <v>1152.0435897435898</v>
      </c>
    </row>
    <row r="238" spans="1:12" x14ac:dyDescent="0.25">
      <c r="A238" t="s">
        <v>31</v>
      </c>
      <c r="B238">
        <v>2019</v>
      </c>
      <c r="C238" t="s">
        <v>38</v>
      </c>
      <c r="D238" s="1">
        <v>142.03846153846155</v>
      </c>
      <c r="E238">
        <v>165.8</v>
      </c>
      <c r="F238" s="1">
        <v>145.86666666666667</v>
      </c>
      <c r="G238" s="1">
        <v>140.1</v>
      </c>
      <c r="H238">
        <v>140.9</v>
      </c>
      <c r="I238">
        <v>154.9</v>
      </c>
      <c r="J238">
        <v>143.44999999999999</v>
      </c>
      <c r="K238" s="1">
        <v>142.6</v>
      </c>
      <c r="L238">
        <f>SUM(Table2[[#This Row],[Food average]:[Miscelleneous and general index]])</f>
        <v>1175.655128205128</v>
      </c>
    </row>
    <row r="239" spans="1:12" hidden="1" x14ac:dyDescent="0.25">
      <c r="A239" t="s">
        <v>28</v>
      </c>
      <c r="B239">
        <v>2019</v>
      </c>
      <c r="C239" t="s">
        <v>39</v>
      </c>
      <c r="D239" s="1">
        <v>142.2076923076923</v>
      </c>
      <c r="E239">
        <v>165.7</v>
      </c>
      <c r="F239" s="1">
        <v>149.76666666666665</v>
      </c>
      <c r="G239" s="1">
        <v>142.93333333333337</v>
      </c>
      <c r="H239">
        <v>148.30000000000001</v>
      </c>
      <c r="I239">
        <v>160.19999999999999</v>
      </c>
      <c r="J239">
        <v>146.80000000000001</v>
      </c>
      <c r="K239" s="1">
        <v>146.05000000000001</v>
      </c>
      <c r="L239">
        <f>SUM(Table2[[#This Row],[Food average]:[Miscelleneous and general index]])</f>
        <v>1201.9576923076922</v>
      </c>
    </row>
    <row r="240" spans="1:12" hidden="1" x14ac:dyDescent="0.25">
      <c r="A240" t="s">
        <v>30</v>
      </c>
      <c r="B240">
        <v>2019</v>
      </c>
      <c r="C240" t="s">
        <v>39</v>
      </c>
      <c r="D240" s="1">
        <v>144.22307692307692</v>
      </c>
      <c r="E240">
        <v>168.6</v>
      </c>
      <c r="F240" s="1">
        <v>140.26666666666668</v>
      </c>
      <c r="G240" s="1">
        <v>134.57499999999999</v>
      </c>
      <c r="H240">
        <v>135.9</v>
      </c>
      <c r="I240">
        <v>151.6</v>
      </c>
      <c r="J240">
        <v>140.44999999999999</v>
      </c>
      <c r="K240" s="1">
        <v>140.19999999999999</v>
      </c>
      <c r="L240">
        <f>SUM(Table2[[#This Row],[Food average]:[Miscelleneous and general index]])</f>
        <v>1155.8147435897436</v>
      </c>
    </row>
    <row r="241" spans="1:12" x14ac:dyDescent="0.25">
      <c r="A241" t="s">
        <v>31</v>
      </c>
      <c r="B241">
        <v>2019</v>
      </c>
      <c r="C241" t="s">
        <v>39</v>
      </c>
      <c r="D241" s="1">
        <v>142.89999999999998</v>
      </c>
      <c r="E241">
        <v>166.5</v>
      </c>
      <c r="F241" s="1">
        <v>145.89999999999998</v>
      </c>
      <c r="G241" s="1">
        <v>140.52500000000001</v>
      </c>
      <c r="H241">
        <v>141.30000000000001</v>
      </c>
      <c r="I241">
        <v>155.19999999999999</v>
      </c>
      <c r="J241">
        <v>144.35</v>
      </c>
      <c r="K241" s="1">
        <v>143.25</v>
      </c>
      <c r="L241">
        <f>SUM(Table2[[#This Row],[Food average]:[Miscelleneous and general index]])</f>
        <v>1179.925</v>
      </c>
    </row>
    <row r="242" spans="1:12" hidden="1" x14ac:dyDescent="0.25">
      <c r="A242" t="s">
        <v>28</v>
      </c>
      <c r="B242">
        <v>2019</v>
      </c>
      <c r="C242" t="s">
        <v>40</v>
      </c>
      <c r="D242" s="1">
        <v>144.37692307692305</v>
      </c>
      <c r="E242">
        <v>166.3</v>
      </c>
      <c r="F242" s="1">
        <v>149.79999999999998</v>
      </c>
      <c r="G242" s="1">
        <v>143.33333333333331</v>
      </c>
      <c r="H242">
        <v>148.69999999999999</v>
      </c>
      <c r="I242">
        <v>160.69999999999999</v>
      </c>
      <c r="J242">
        <v>147</v>
      </c>
      <c r="K242" s="1">
        <v>147</v>
      </c>
      <c r="L242">
        <f>SUM(Table2[[#This Row],[Food average]:[Miscelleneous and general index]])</f>
        <v>1207.2102564102565</v>
      </c>
    </row>
    <row r="243" spans="1:12" hidden="1" x14ac:dyDescent="0.25">
      <c r="A243" t="s">
        <v>30</v>
      </c>
      <c r="B243">
        <v>2019</v>
      </c>
      <c r="C243" t="s">
        <v>40</v>
      </c>
      <c r="D243" s="1">
        <v>146.35384615384618</v>
      </c>
      <c r="E243">
        <v>169.3</v>
      </c>
      <c r="F243" s="1">
        <v>140.73333333333335</v>
      </c>
      <c r="G243" s="1">
        <v>135.52499999999998</v>
      </c>
      <c r="H243">
        <v>136.19999999999999</v>
      </c>
      <c r="I243">
        <v>151.69999999999999</v>
      </c>
      <c r="J243">
        <v>140.94999999999999</v>
      </c>
      <c r="K243" s="1">
        <v>141</v>
      </c>
      <c r="L243">
        <f>SUM(Table2[[#This Row],[Food average]:[Miscelleneous and general index]])</f>
        <v>1161.7621794871795</v>
      </c>
    </row>
    <row r="244" spans="1:12" x14ac:dyDescent="0.25">
      <c r="A244" t="s">
        <v>31</v>
      </c>
      <c r="B244">
        <v>2019</v>
      </c>
      <c r="C244" t="s">
        <v>40</v>
      </c>
      <c r="D244" s="1">
        <v>145.04615384615383</v>
      </c>
      <c r="E244">
        <v>167.1</v>
      </c>
      <c r="F244" s="1">
        <v>146.13333333333335</v>
      </c>
      <c r="G244" s="1">
        <v>141.22499999999999</v>
      </c>
      <c r="H244">
        <v>141.69999999999999</v>
      </c>
      <c r="I244">
        <v>155.4</v>
      </c>
      <c r="J244">
        <v>144.69999999999999</v>
      </c>
      <c r="K244" s="1">
        <v>144.1</v>
      </c>
      <c r="L244">
        <f>SUM(Table2[[#This Row],[Food average]:[Miscelleneous and general index]])</f>
        <v>1185.404487179487</v>
      </c>
    </row>
    <row r="245" spans="1:12" hidden="1" x14ac:dyDescent="0.25">
      <c r="A245" t="s">
        <v>28</v>
      </c>
      <c r="B245">
        <v>2019</v>
      </c>
      <c r="C245" t="s">
        <v>42</v>
      </c>
      <c r="D245" s="1">
        <v>146.50769230769231</v>
      </c>
      <c r="E245">
        <v>167.2</v>
      </c>
      <c r="F245" s="1">
        <v>150.26666666666668</v>
      </c>
      <c r="G245" s="1">
        <v>143.79999999999998</v>
      </c>
      <c r="H245">
        <v>149.1</v>
      </c>
      <c r="I245">
        <v>160.80000000000001</v>
      </c>
      <c r="J245">
        <v>147.44999999999999</v>
      </c>
      <c r="K245" s="1">
        <v>148</v>
      </c>
      <c r="L245">
        <f>SUM(Table2[[#This Row],[Food average]:[Miscelleneous and general index]])</f>
        <v>1213.124358974359</v>
      </c>
    </row>
    <row r="246" spans="1:12" hidden="1" x14ac:dyDescent="0.25">
      <c r="A246" t="s">
        <v>30</v>
      </c>
      <c r="B246">
        <v>2019</v>
      </c>
      <c r="C246" t="s">
        <v>42</v>
      </c>
      <c r="D246" s="1">
        <v>147.99999999999997</v>
      </c>
      <c r="E246">
        <v>169.9</v>
      </c>
      <c r="F246" s="1">
        <v>141.03333333333333</v>
      </c>
      <c r="G246" s="1">
        <v>136.625</v>
      </c>
      <c r="H246">
        <v>136.69999999999999</v>
      </c>
      <c r="I246">
        <v>151.80000000000001</v>
      </c>
      <c r="J246">
        <v>141.30000000000001</v>
      </c>
      <c r="K246" s="1">
        <v>141.65</v>
      </c>
      <c r="L246">
        <f>SUM(Table2[[#This Row],[Food average]:[Miscelleneous and general index]])</f>
        <v>1167.0083333333332</v>
      </c>
    </row>
    <row r="247" spans="1:12" x14ac:dyDescent="0.25">
      <c r="A247" t="s">
        <v>31</v>
      </c>
      <c r="B247">
        <v>2019</v>
      </c>
      <c r="C247" t="s">
        <v>42</v>
      </c>
      <c r="D247" s="1">
        <v>146.99230769230769</v>
      </c>
      <c r="E247">
        <v>167.9</v>
      </c>
      <c r="F247" s="1">
        <v>146.5</v>
      </c>
      <c r="G247" s="1">
        <v>141.92500000000001</v>
      </c>
      <c r="H247">
        <v>142.1</v>
      </c>
      <c r="I247">
        <v>155.5</v>
      </c>
      <c r="J247">
        <v>145.10000000000002</v>
      </c>
      <c r="K247" s="1">
        <v>144.94999999999999</v>
      </c>
      <c r="L247">
        <f>SUM(Table2[[#This Row],[Food average]:[Miscelleneous and general index]])</f>
        <v>1190.9673076923077</v>
      </c>
    </row>
    <row r="248" spans="1:12" hidden="1" x14ac:dyDescent="0.25">
      <c r="A248" t="s">
        <v>28</v>
      </c>
      <c r="B248">
        <v>2019</v>
      </c>
      <c r="C248" t="s">
        <v>43</v>
      </c>
      <c r="D248" s="1">
        <v>149.30769230769226</v>
      </c>
      <c r="E248">
        <v>167.8</v>
      </c>
      <c r="F248" s="1">
        <v>150.6</v>
      </c>
      <c r="G248" s="1">
        <v>145.36666666666667</v>
      </c>
      <c r="H248">
        <v>149.5</v>
      </c>
      <c r="I248">
        <v>161.1</v>
      </c>
      <c r="J248">
        <v>147.69999999999999</v>
      </c>
      <c r="K248" s="1">
        <v>149.69999999999999</v>
      </c>
      <c r="L248">
        <f>SUM(Table2[[#This Row],[Food average]:[Miscelleneous and general index]])</f>
        <v>1221.074358974359</v>
      </c>
    </row>
    <row r="249" spans="1:12" hidden="1" x14ac:dyDescent="0.25">
      <c r="A249" t="s">
        <v>30</v>
      </c>
      <c r="B249">
        <v>2019</v>
      </c>
      <c r="C249" t="s">
        <v>43</v>
      </c>
      <c r="D249" s="1">
        <v>150.51538461538462</v>
      </c>
      <c r="E249">
        <v>170.4</v>
      </c>
      <c r="F249" s="1">
        <v>141.4</v>
      </c>
      <c r="G249" s="1">
        <v>137.85</v>
      </c>
      <c r="H249">
        <v>136.80000000000001</v>
      </c>
      <c r="I249">
        <v>151.9</v>
      </c>
      <c r="J249">
        <v>141.69999999999999</v>
      </c>
      <c r="K249" s="1">
        <v>143</v>
      </c>
      <c r="L249">
        <f>SUM(Table2[[#This Row],[Food average]:[Miscelleneous and general index]])</f>
        <v>1173.5653846153846</v>
      </c>
    </row>
    <row r="250" spans="1:12" x14ac:dyDescent="0.25">
      <c r="A250" t="s">
        <v>31</v>
      </c>
      <c r="B250">
        <v>2019</v>
      </c>
      <c r="C250" t="s">
        <v>43</v>
      </c>
      <c r="D250" s="1">
        <v>149.70000000000002</v>
      </c>
      <c r="E250">
        <v>168.5</v>
      </c>
      <c r="F250" s="1">
        <v>146.86666666666667</v>
      </c>
      <c r="G250" s="1">
        <v>143.02500000000001</v>
      </c>
      <c r="H250">
        <v>142.30000000000001</v>
      </c>
      <c r="I250">
        <v>155.69999999999999</v>
      </c>
      <c r="J250">
        <v>145.4</v>
      </c>
      <c r="K250" s="1">
        <v>146.44999999999999</v>
      </c>
      <c r="L250">
        <f>SUM(Table2[[#This Row],[Food average]:[Miscelleneous and general index]])</f>
        <v>1197.9416666666668</v>
      </c>
    </row>
    <row r="251" spans="1:12" hidden="1" x14ac:dyDescent="0.25">
      <c r="A251" t="s">
        <v>28</v>
      </c>
      <c r="B251">
        <v>2020</v>
      </c>
      <c r="C251" t="s">
        <v>29</v>
      </c>
      <c r="D251" s="1">
        <v>149.12307692307692</v>
      </c>
      <c r="E251">
        <v>168.6</v>
      </c>
      <c r="F251" s="1">
        <v>150.76666666666668</v>
      </c>
      <c r="G251" s="1">
        <v>146.13333333333335</v>
      </c>
      <c r="H251">
        <v>150.1</v>
      </c>
      <c r="I251">
        <v>161.69999999999999</v>
      </c>
      <c r="J251">
        <v>149.1</v>
      </c>
      <c r="K251" s="1">
        <v>150</v>
      </c>
      <c r="L251">
        <f>SUM(Table2[[#This Row],[Food average]:[Miscelleneous and general index]])</f>
        <v>1225.5230769230768</v>
      </c>
    </row>
    <row r="252" spans="1:12" hidden="1" x14ac:dyDescent="0.25">
      <c r="A252" t="s">
        <v>30</v>
      </c>
      <c r="B252">
        <v>2020</v>
      </c>
      <c r="C252" t="s">
        <v>29</v>
      </c>
      <c r="D252" s="1">
        <v>149.64615384615382</v>
      </c>
      <c r="E252">
        <v>170.8</v>
      </c>
      <c r="F252" s="1">
        <v>141.70000000000002</v>
      </c>
      <c r="G252" s="1">
        <v>138.80000000000001</v>
      </c>
      <c r="H252">
        <v>137.19999999999999</v>
      </c>
      <c r="I252">
        <v>152.1</v>
      </c>
      <c r="J252">
        <v>142.94999999999999</v>
      </c>
      <c r="K252" s="1">
        <v>143.30000000000001</v>
      </c>
      <c r="L252">
        <f>SUM(Table2[[#This Row],[Food average]:[Miscelleneous and general index]])</f>
        <v>1176.4961538461539</v>
      </c>
    </row>
    <row r="253" spans="1:12" x14ac:dyDescent="0.25">
      <c r="A253" t="s">
        <v>31</v>
      </c>
      <c r="B253">
        <v>2020</v>
      </c>
      <c r="C253" t="s">
        <v>29</v>
      </c>
      <c r="D253" s="1">
        <v>149.26153846153846</v>
      </c>
      <c r="E253">
        <v>169.2</v>
      </c>
      <c r="F253" s="1">
        <v>147.06666666666666</v>
      </c>
      <c r="G253" s="1">
        <v>143.9</v>
      </c>
      <c r="H253">
        <v>142.80000000000001</v>
      </c>
      <c r="I253">
        <v>156.1</v>
      </c>
      <c r="J253">
        <v>146.75</v>
      </c>
      <c r="K253" s="1">
        <v>146.80000000000001</v>
      </c>
      <c r="L253">
        <f>SUM(Table2[[#This Row],[Food average]:[Miscelleneous and general index]])</f>
        <v>1201.8782051282053</v>
      </c>
    </row>
    <row r="254" spans="1:12" hidden="1" x14ac:dyDescent="0.25">
      <c r="A254" t="s">
        <v>28</v>
      </c>
      <c r="B254">
        <v>2020</v>
      </c>
      <c r="C254" t="s">
        <v>32</v>
      </c>
      <c r="D254" s="1">
        <v>146.90769230769229</v>
      </c>
      <c r="E254">
        <v>169.4</v>
      </c>
      <c r="F254" s="1">
        <v>150.93333333333334</v>
      </c>
      <c r="G254" s="1">
        <v>146.70000000000002</v>
      </c>
      <c r="H254">
        <v>150.4</v>
      </c>
      <c r="I254">
        <v>161.9</v>
      </c>
      <c r="J254">
        <v>149.80000000000001</v>
      </c>
      <c r="K254" s="1">
        <v>149.4</v>
      </c>
      <c r="L254">
        <f>SUM(Table2[[#This Row],[Food average]:[Miscelleneous and general index]])</f>
        <v>1225.4410256410256</v>
      </c>
    </row>
    <row r="255" spans="1:12" hidden="1" x14ac:dyDescent="0.25">
      <c r="A255" t="s">
        <v>30</v>
      </c>
      <c r="B255">
        <v>2020</v>
      </c>
      <c r="C255" t="s">
        <v>32</v>
      </c>
      <c r="D255" s="1">
        <v>147.43076923076922</v>
      </c>
      <c r="E255">
        <v>172</v>
      </c>
      <c r="F255" s="1">
        <v>142</v>
      </c>
      <c r="G255" s="1">
        <v>139.82500000000002</v>
      </c>
      <c r="H255">
        <v>137.69999999999999</v>
      </c>
      <c r="I255">
        <v>152.19999999999999</v>
      </c>
      <c r="J255">
        <v>143.94999999999999</v>
      </c>
      <c r="K255" s="1">
        <v>143.05000000000001</v>
      </c>
      <c r="L255">
        <f>SUM(Table2[[#This Row],[Food average]:[Miscelleneous and general index]])</f>
        <v>1178.1557692307692</v>
      </c>
    </row>
    <row r="256" spans="1:12" x14ac:dyDescent="0.25">
      <c r="A256" t="s">
        <v>31</v>
      </c>
      <c r="B256">
        <v>2020</v>
      </c>
      <c r="C256" t="s">
        <v>32</v>
      </c>
      <c r="D256" s="1">
        <v>147.04615384615383</v>
      </c>
      <c r="E256">
        <v>170.1</v>
      </c>
      <c r="F256" s="1">
        <v>147.33333333333334</v>
      </c>
      <c r="G256" s="1">
        <v>144.67500000000001</v>
      </c>
      <c r="H256">
        <v>143.19999999999999</v>
      </c>
      <c r="I256">
        <v>156.19999999999999</v>
      </c>
      <c r="J256">
        <v>147.55000000000001</v>
      </c>
      <c r="K256" s="1">
        <v>146.35</v>
      </c>
      <c r="L256">
        <f>SUM(Table2[[#This Row],[Food average]:[Miscelleneous and general index]])</f>
        <v>1202.4544871794872</v>
      </c>
    </row>
    <row r="257" spans="1:12" hidden="1" x14ac:dyDescent="0.25">
      <c r="A257" t="s">
        <v>28</v>
      </c>
      <c r="B257">
        <v>2020</v>
      </c>
      <c r="C257" t="s">
        <v>33</v>
      </c>
      <c r="D257" s="1">
        <v>145.73846153846151</v>
      </c>
      <c r="E257">
        <v>170.5</v>
      </c>
      <c r="F257" s="1">
        <v>151.16666666666666</v>
      </c>
      <c r="G257" s="1">
        <v>146.9</v>
      </c>
      <c r="H257">
        <v>151.19999999999999</v>
      </c>
      <c r="I257">
        <v>161.19999999999999</v>
      </c>
      <c r="J257">
        <v>150.89999999999998</v>
      </c>
      <c r="K257" s="1">
        <v>149.19999999999999</v>
      </c>
      <c r="L257">
        <f>SUM(Table2[[#This Row],[Food average]:[Miscelleneous and general index]])</f>
        <v>1226.8051282051281</v>
      </c>
    </row>
    <row r="258" spans="1:12" hidden="1" x14ac:dyDescent="0.25">
      <c r="A258" t="s">
        <v>30</v>
      </c>
      <c r="B258">
        <v>2020</v>
      </c>
      <c r="C258" t="s">
        <v>33</v>
      </c>
      <c r="D258" s="1">
        <v>146.03846153846155</v>
      </c>
      <c r="E258">
        <v>173.3</v>
      </c>
      <c r="F258" s="1">
        <v>142.36666666666667</v>
      </c>
      <c r="G258" s="1">
        <v>140.32499999999999</v>
      </c>
      <c r="H258">
        <v>137.9</v>
      </c>
      <c r="I258">
        <v>152.5</v>
      </c>
      <c r="J258">
        <v>145.15</v>
      </c>
      <c r="K258" s="1">
        <v>143</v>
      </c>
      <c r="L258">
        <f>SUM(Table2[[#This Row],[Food average]:[Miscelleneous and general index]])</f>
        <v>1180.5801282051282</v>
      </c>
    </row>
    <row r="259" spans="1:12" x14ac:dyDescent="0.25">
      <c r="A259" t="s">
        <v>31</v>
      </c>
      <c r="B259">
        <v>2020</v>
      </c>
      <c r="C259" t="s">
        <v>33</v>
      </c>
      <c r="D259" s="1">
        <v>145.80000000000001</v>
      </c>
      <c r="E259">
        <v>171.2</v>
      </c>
      <c r="F259" s="1">
        <v>147.63333333333335</v>
      </c>
      <c r="G259" s="1">
        <v>144.92499999999998</v>
      </c>
      <c r="H259">
        <v>143.69999999999999</v>
      </c>
      <c r="I259">
        <v>156.1</v>
      </c>
      <c r="J259">
        <v>148.75</v>
      </c>
      <c r="K259" s="1">
        <v>146.19999999999999</v>
      </c>
      <c r="L259">
        <f>SUM(Table2[[#This Row],[Food average]:[Miscelleneous and general index]])</f>
        <v>1204.3083333333332</v>
      </c>
    </row>
    <row r="260" spans="1:12" hidden="1" x14ac:dyDescent="0.25">
      <c r="A260" t="s">
        <v>28</v>
      </c>
      <c r="B260">
        <v>2020</v>
      </c>
      <c r="C260" t="s">
        <v>34</v>
      </c>
      <c r="D260" s="1">
        <v>149.30769230769232</v>
      </c>
      <c r="E260">
        <v>170.5</v>
      </c>
      <c r="F260" s="1">
        <v>146.76666666666668</v>
      </c>
      <c r="G260" s="1">
        <v>141.66666666666666</v>
      </c>
      <c r="H260">
        <v>143.80000000000001</v>
      </c>
      <c r="I260">
        <v>156.6</v>
      </c>
      <c r="J260">
        <v>148.94999999999999</v>
      </c>
      <c r="K260" s="1">
        <v>146.30000000000001</v>
      </c>
      <c r="L260">
        <f>SUM(Table2[[#This Row],[Food average]:[Miscelleneous and general index]])</f>
        <v>1203.8910256410256</v>
      </c>
    </row>
    <row r="261" spans="1:12" hidden="1" x14ac:dyDescent="0.25">
      <c r="A261" t="s">
        <v>30</v>
      </c>
      <c r="B261">
        <v>2020</v>
      </c>
      <c r="C261" t="s">
        <v>34</v>
      </c>
      <c r="D261" s="1">
        <v>150.99230769230769</v>
      </c>
      <c r="E261">
        <v>170.5</v>
      </c>
      <c r="F261" s="1">
        <v>146.76666666666668</v>
      </c>
      <c r="G261" s="1">
        <v>142.32499999999999</v>
      </c>
      <c r="H261">
        <v>143.80000000000001</v>
      </c>
      <c r="I261">
        <v>156.6</v>
      </c>
      <c r="J261">
        <v>144.19999999999999</v>
      </c>
      <c r="K261" s="1">
        <v>146.30000000000001</v>
      </c>
      <c r="L261">
        <f>SUM(Table2[[#This Row],[Food average]:[Miscelleneous and general index]])</f>
        <v>1201.4839743589741</v>
      </c>
    </row>
    <row r="262" spans="1:12" x14ac:dyDescent="0.25">
      <c r="A262" t="s">
        <v>31</v>
      </c>
      <c r="B262">
        <v>2020</v>
      </c>
      <c r="C262" t="s">
        <v>34</v>
      </c>
      <c r="D262" s="1">
        <v>149.91538461538462</v>
      </c>
      <c r="E262">
        <v>170.5</v>
      </c>
      <c r="F262" s="1">
        <v>146.76666666666668</v>
      </c>
      <c r="G262" s="1">
        <v>144.07499999999999</v>
      </c>
      <c r="H262">
        <v>143.80000000000001</v>
      </c>
      <c r="I262">
        <v>156.6</v>
      </c>
      <c r="J262">
        <v>147.14999999999998</v>
      </c>
      <c r="K262" s="1">
        <v>146.30000000000001</v>
      </c>
      <c r="L262">
        <f>SUM(Table2[[#This Row],[Food average]:[Miscelleneous and general index]])</f>
        <v>1205.1070512820511</v>
      </c>
    </row>
    <row r="263" spans="1:12" hidden="1" x14ac:dyDescent="0.25">
      <c r="A263" t="s">
        <v>28</v>
      </c>
      <c r="B263">
        <v>2020</v>
      </c>
      <c r="C263" t="s">
        <v>36</v>
      </c>
      <c r="D263" s="1">
        <v>150.07692307692307</v>
      </c>
      <c r="E263">
        <v>182.4</v>
      </c>
      <c r="F263" s="1">
        <v>152.93333333333331</v>
      </c>
      <c r="G263" s="1">
        <v>146</v>
      </c>
      <c r="H263">
        <v>153.19999999999999</v>
      </c>
      <c r="I263">
        <v>161.80000000000001</v>
      </c>
      <c r="J263">
        <v>154.69999999999999</v>
      </c>
      <c r="K263" s="1">
        <v>152.19999999999999</v>
      </c>
      <c r="L263">
        <f>SUM(Table2[[#This Row],[Food average]:[Miscelleneous and general index]])</f>
        <v>1253.3102564102564</v>
      </c>
    </row>
    <row r="264" spans="1:12" hidden="1" x14ac:dyDescent="0.25">
      <c r="A264" t="s">
        <v>30</v>
      </c>
      <c r="B264">
        <v>2020</v>
      </c>
      <c r="C264" t="s">
        <v>36</v>
      </c>
      <c r="D264" s="1">
        <v>153.46153846153845</v>
      </c>
      <c r="E264">
        <v>186.7</v>
      </c>
      <c r="F264" s="1">
        <v>144.29999999999998</v>
      </c>
      <c r="G264" s="1">
        <v>140.375</v>
      </c>
      <c r="H264">
        <v>144.5</v>
      </c>
      <c r="I264">
        <v>152.5</v>
      </c>
      <c r="J264">
        <v>150.14999999999998</v>
      </c>
      <c r="K264" s="1">
        <v>146.4</v>
      </c>
      <c r="L264">
        <f>SUM(Table2[[#This Row],[Food average]:[Miscelleneous and general index]])</f>
        <v>1218.3865384615385</v>
      </c>
    </row>
    <row r="265" spans="1:12" x14ac:dyDescent="0.25">
      <c r="A265" t="s">
        <v>31</v>
      </c>
      <c r="B265">
        <v>2020</v>
      </c>
      <c r="C265" t="s">
        <v>36</v>
      </c>
      <c r="D265" s="1">
        <v>151.2923076923077</v>
      </c>
      <c r="E265">
        <v>183.5</v>
      </c>
      <c r="F265" s="1">
        <v>149.43333333333331</v>
      </c>
      <c r="G265" s="1">
        <v>144.5</v>
      </c>
      <c r="H265">
        <v>148.30000000000001</v>
      </c>
      <c r="I265">
        <v>156.4</v>
      </c>
      <c r="J265">
        <v>153</v>
      </c>
      <c r="K265" s="1">
        <v>149.4</v>
      </c>
      <c r="L265">
        <f>SUM(Table2[[#This Row],[Food average]:[Miscelleneous and general index]])</f>
        <v>1235.8256410256413</v>
      </c>
    </row>
    <row r="266" spans="1:12" hidden="1" x14ac:dyDescent="0.25">
      <c r="A266" t="s">
        <v>28</v>
      </c>
      <c r="B266">
        <v>2020</v>
      </c>
      <c r="C266" t="s">
        <v>37</v>
      </c>
      <c r="D266" s="1">
        <v>150.07692307692307</v>
      </c>
      <c r="E266">
        <v>182.4</v>
      </c>
      <c r="F266" s="1">
        <v>152.93333333333331</v>
      </c>
      <c r="G266" s="1">
        <v>146</v>
      </c>
      <c r="H266">
        <v>153.19999999999999</v>
      </c>
      <c r="I266">
        <v>161.80000000000001</v>
      </c>
      <c r="J266">
        <v>154.69999999999999</v>
      </c>
      <c r="K266" s="1">
        <v>152.19999999999999</v>
      </c>
      <c r="L266">
        <f>SUM(Table2[[#This Row],[Food average]:[Miscelleneous and general index]])</f>
        <v>1253.3102564102564</v>
      </c>
    </row>
    <row r="267" spans="1:12" hidden="1" x14ac:dyDescent="0.25">
      <c r="A267" t="s">
        <v>30</v>
      </c>
      <c r="B267">
        <v>2020</v>
      </c>
      <c r="C267" t="s">
        <v>37</v>
      </c>
      <c r="D267" s="1">
        <v>153.46153846153845</v>
      </c>
      <c r="E267">
        <v>186.7</v>
      </c>
      <c r="F267" s="1">
        <v>144.29999999999998</v>
      </c>
      <c r="G267" s="1">
        <v>140.375</v>
      </c>
      <c r="H267">
        <v>144.5</v>
      </c>
      <c r="I267">
        <v>152.5</v>
      </c>
      <c r="J267">
        <v>150.14999999999998</v>
      </c>
      <c r="K267" s="1">
        <v>146.4</v>
      </c>
      <c r="L267">
        <f>SUM(Table2[[#This Row],[Food average]:[Miscelleneous and general index]])</f>
        <v>1218.3865384615385</v>
      </c>
    </row>
    <row r="268" spans="1:12" x14ac:dyDescent="0.25">
      <c r="A268" t="s">
        <v>31</v>
      </c>
      <c r="B268">
        <v>2020</v>
      </c>
      <c r="C268" t="s">
        <v>37</v>
      </c>
      <c r="D268" s="1">
        <v>151.2923076923077</v>
      </c>
      <c r="E268">
        <v>183.5</v>
      </c>
      <c r="F268" s="1">
        <v>149.43333333333331</v>
      </c>
      <c r="G268" s="1">
        <v>144.5</v>
      </c>
      <c r="H268">
        <v>148.30000000000001</v>
      </c>
      <c r="I268">
        <v>156.4</v>
      </c>
      <c r="J268">
        <v>153</v>
      </c>
      <c r="K268" s="1">
        <v>149.4</v>
      </c>
      <c r="L268">
        <f>SUM(Table2[[#This Row],[Food average]:[Miscelleneous and general index]])</f>
        <v>1235.8256410256413</v>
      </c>
    </row>
    <row r="269" spans="1:12" hidden="1" x14ac:dyDescent="0.25">
      <c r="A269" t="s">
        <v>28</v>
      </c>
      <c r="B269">
        <v>2020</v>
      </c>
      <c r="C269" t="s">
        <v>38</v>
      </c>
      <c r="D269" s="1">
        <v>152.19999999999999</v>
      </c>
      <c r="E269">
        <v>180.9</v>
      </c>
      <c r="F269" s="1">
        <v>152.9</v>
      </c>
      <c r="G269" s="1">
        <v>147.10000000000002</v>
      </c>
      <c r="H269">
        <v>152.19999999999999</v>
      </c>
      <c r="I269">
        <v>162.69999999999999</v>
      </c>
      <c r="J269">
        <v>156.19999999999999</v>
      </c>
      <c r="K269" s="1">
        <v>153.85</v>
      </c>
      <c r="L269">
        <f>SUM(Table2[[#This Row],[Food average]:[Miscelleneous and general index]])</f>
        <v>1258.05</v>
      </c>
    </row>
    <row r="270" spans="1:12" hidden="1" x14ac:dyDescent="0.25">
      <c r="A270" t="s">
        <v>30</v>
      </c>
      <c r="B270">
        <v>2020</v>
      </c>
      <c r="C270" t="s">
        <v>38</v>
      </c>
      <c r="D270" s="1">
        <v>155.76153846153846</v>
      </c>
      <c r="E270">
        <v>187.2</v>
      </c>
      <c r="F270" s="1">
        <v>144.33333333333334</v>
      </c>
      <c r="G270" s="1">
        <v>143.05000000000001</v>
      </c>
      <c r="H270">
        <v>141.19999999999999</v>
      </c>
      <c r="I270">
        <v>155.5</v>
      </c>
      <c r="J270">
        <v>151.94999999999999</v>
      </c>
      <c r="K270" s="1">
        <v>148.85000000000002</v>
      </c>
      <c r="L270">
        <f>SUM(Table2[[#This Row],[Food average]:[Miscelleneous and general index]])</f>
        <v>1227.8448717948718</v>
      </c>
    </row>
    <row r="271" spans="1:12" x14ac:dyDescent="0.25">
      <c r="A271" t="s">
        <v>31</v>
      </c>
      <c r="B271">
        <v>2020</v>
      </c>
      <c r="C271" t="s">
        <v>38</v>
      </c>
      <c r="D271" s="1">
        <v>153.47692307692307</v>
      </c>
      <c r="E271">
        <v>182.6</v>
      </c>
      <c r="F271" s="1">
        <v>149.4</v>
      </c>
      <c r="G271" s="1">
        <v>146.35</v>
      </c>
      <c r="H271">
        <v>146</v>
      </c>
      <c r="I271">
        <v>158.5</v>
      </c>
      <c r="J271">
        <v>154.65</v>
      </c>
      <c r="K271" s="1">
        <v>151.44999999999999</v>
      </c>
      <c r="L271">
        <f>SUM(Table2[[#This Row],[Food average]:[Miscelleneous and general index]])</f>
        <v>1242.4269230769232</v>
      </c>
    </row>
    <row r="272" spans="1:12" hidden="1" x14ac:dyDescent="0.25">
      <c r="A272" t="s">
        <v>28</v>
      </c>
      <c r="B272">
        <v>2020</v>
      </c>
      <c r="C272" t="s">
        <v>39</v>
      </c>
      <c r="D272" s="1">
        <v>152.87692307692308</v>
      </c>
      <c r="E272">
        <v>182.9</v>
      </c>
      <c r="F272" s="1">
        <v>153.29999999999998</v>
      </c>
      <c r="G272" s="1">
        <v>147.53333333333333</v>
      </c>
      <c r="H272">
        <v>152.80000000000001</v>
      </c>
      <c r="I272">
        <v>161.1</v>
      </c>
      <c r="J272">
        <v>158.25</v>
      </c>
      <c r="K272" s="1">
        <v>154.55000000000001</v>
      </c>
      <c r="L272">
        <f>SUM(Table2[[#This Row],[Food average]:[Miscelleneous and general index]])</f>
        <v>1263.3102564102562</v>
      </c>
    </row>
    <row r="273" spans="1:12" hidden="1" x14ac:dyDescent="0.25">
      <c r="A273" t="s">
        <v>30</v>
      </c>
      <c r="B273">
        <v>2020</v>
      </c>
      <c r="C273" t="s">
        <v>39</v>
      </c>
      <c r="D273" s="1">
        <v>157.04615384615386</v>
      </c>
      <c r="E273">
        <v>188.7</v>
      </c>
      <c r="F273" s="1">
        <v>144.86666666666667</v>
      </c>
      <c r="G273" s="1">
        <v>143.5</v>
      </c>
      <c r="H273">
        <v>141.80000000000001</v>
      </c>
      <c r="I273">
        <v>154.9</v>
      </c>
      <c r="J273">
        <v>154.9</v>
      </c>
      <c r="K273" s="1">
        <v>150</v>
      </c>
      <c r="L273">
        <f>SUM(Table2[[#This Row],[Food average]:[Miscelleneous and general index]])</f>
        <v>1235.7128205128204</v>
      </c>
    </row>
    <row r="274" spans="1:12" x14ac:dyDescent="0.25">
      <c r="A274" t="s">
        <v>31</v>
      </c>
      <c r="B274">
        <v>2020</v>
      </c>
      <c r="C274" t="s">
        <v>39</v>
      </c>
      <c r="D274" s="1">
        <v>154.38461538461539</v>
      </c>
      <c r="E274">
        <v>184.4</v>
      </c>
      <c r="F274" s="1">
        <v>149.9</v>
      </c>
      <c r="G274" s="1">
        <v>146.875</v>
      </c>
      <c r="H274">
        <v>146.6</v>
      </c>
      <c r="I274">
        <v>157.5</v>
      </c>
      <c r="J274">
        <v>157</v>
      </c>
      <c r="K274" s="1">
        <v>152.35</v>
      </c>
      <c r="L274">
        <f>SUM(Table2[[#This Row],[Food average]:[Miscelleneous and general index]])</f>
        <v>1249.0096153846152</v>
      </c>
    </row>
    <row r="275" spans="1:12" hidden="1" x14ac:dyDescent="0.25">
      <c r="A275" t="s">
        <v>28</v>
      </c>
      <c r="B275">
        <v>2020</v>
      </c>
      <c r="C275" t="s">
        <v>40</v>
      </c>
      <c r="D275" s="1">
        <v>156.22307692307692</v>
      </c>
      <c r="E275">
        <v>182.7</v>
      </c>
      <c r="F275" s="1">
        <v>153.76666666666665</v>
      </c>
      <c r="G275" s="1">
        <v>148.4</v>
      </c>
      <c r="H275">
        <v>152.4</v>
      </c>
      <c r="I275">
        <v>162.5</v>
      </c>
      <c r="J275">
        <v>157.85</v>
      </c>
      <c r="K275" s="1">
        <v>155.9</v>
      </c>
      <c r="L275">
        <f>SUM(Table2[[#This Row],[Food average]:[Miscelleneous and general index]])</f>
        <v>1269.7397435897435</v>
      </c>
    </row>
    <row r="276" spans="1:12" hidden="1" x14ac:dyDescent="0.25">
      <c r="A276" t="s">
        <v>30</v>
      </c>
      <c r="B276">
        <v>2020</v>
      </c>
      <c r="C276" t="s">
        <v>40</v>
      </c>
      <c r="D276" s="1">
        <v>160.01538461538459</v>
      </c>
      <c r="E276">
        <v>188.7</v>
      </c>
      <c r="F276" s="1">
        <v>144.96666666666667</v>
      </c>
      <c r="G276" s="1">
        <v>143.52500000000001</v>
      </c>
      <c r="H276">
        <v>142</v>
      </c>
      <c r="I276">
        <v>155.69999999999999</v>
      </c>
      <c r="J276">
        <v>154.55000000000001</v>
      </c>
      <c r="K276" s="1">
        <v>150.69999999999999</v>
      </c>
      <c r="L276">
        <f>SUM(Table2[[#This Row],[Food average]:[Miscelleneous and general index]])</f>
        <v>1240.1570512820513</v>
      </c>
    </row>
    <row r="277" spans="1:12" x14ac:dyDescent="0.25">
      <c r="A277" t="s">
        <v>31</v>
      </c>
      <c r="B277">
        <v>2020</v>
      </c>
      <c r="C277" t="s">
        <v>40</v>
      </c>
      <c r="D277" s="1">
        <v>157.5846153846154</v>
      </c>
      <c r="E277">
        <v>184.3</v>
      </c>
      <c r="F277" s="1">
        <v>150.19999999999999</v>
      </c>
      <c r="G277" s="1">
        <v>147.22499999999999</v>
      </c>
      <c r="H277">
        <v>146.5</v>
      </c>
      <c r="I277">
        <v>158.5</v>
      </c>
      <c r="J277">
        <v>156.65</v>
      </c>
      <c r="K277" s="1">
        <v>153.4</v>
      </c>
      <c r="L277">
        <f>SUM(Table2[[#This Row],[Food average]:[Miscelleneous and general index]])</f>
        <v>1254.3596153846156</v>
      </c>
    </row>
    <row r="278" spans="1:12" hidden="1" x14ac:dyDescent="0.25">
      <c r="A278" t="s">
        <v>28</v>
      </c>
      <c r="B278">
        <v>2020</v>
      </c>
      <c r="C278" t="s">
        <v>42</v>
      </c>
      <c r="D278" s="1">
        <v>160.1846153846154</v>
      </c>
      <c r="E278">
        <v>183.4</v>
      </c>
      <c r="F278" s="1">
        <v>154.26666666666668</v>
      </c>
      <c r="G278" s="1">
        <v>148.79999999999998</v>
      </c>
      <c r="H278">
        <v>153.6</v>
      </c>
      <c r="I278">
        <v>161.6</v>
      </c>
      <c r="J278">
        <v>158.30000000000001</v>
      </c>
      <c r="K278" s="1">
        <v>157.15</v>
      </c>
      <c r="L278">
        <f>SUM(Table2[[#This Row],[Food average]:[Miscelleneous and general index]])</f>
        <v>1277.3012820512822</v>
      </c>
    </row>
    <row r="279" spans="1:12" hidden="1" x14ac:dyDescent="0.25">
      <c r="A279" t="s">
        <v>30</v>
      </c>
      <c r="B279">
        <v>2020</v>
      </c>
      <c r="C279" t="s">
        <v>42</v>
      </c>
      <c r="D279" s="1">
        <v>163.1307692307692</v>
      </c>
      <c r="E279">
        <v>188.8</v>
      </c>
      <c r="F279" s="1">
        <v>145.43333333333334</v>
      </c>
      <c r="G279" s="1">
        <v>143.89999999999998</v>
      </c>
      <c r="H279">
        <v>144.4</v>
      </c>
      <c r="I279">
        <v>156.4</v>
      </c>
      <c r="J279">
        <v>154.94999999999999</v>
      </c>
      <c r="K279" s="1">
        <v>151.64999999999998</v>
      </c>
      <c r="L279">
        <f>SUM(Table2[[#This Row],[Food average]:[Miscelleneous and general index]])</f>
        <v>1248.6641025641024</v>
      </c>
    </row>
    <row r="280" spans="1:12" x14ac:dyDescent="0.25">
      <c r="A280" t="s">
        <v>31</v>
      </c>
      <c r="B280">
        <v>2020</v>
      </c>
      <c r="C280" t="s">
        <v>42</v>
      </c>
      <c r="D280" s="1">
        <v>161.19999999999999</v>
      </c>
      <c r="E280">
        <v>184.8</v>
      </c>
      <c r="F280" s="1">
        <v>150.66666666666669</v>
      </c>
      <c r="G280" s="1">
        <v>147.80000000000001</v>
      </c>
      <c r="H280">
        <v>148.4</v>
      </c>
      <c r="I280">
        <v>158.6</v>
      </c>
      <c r="J280">
        <v>157.05000000000001</v>
      </c>
      <c r="K280" s="1">
        <v>154.55000000000001</v>
      </c>
      <c r="L280">
        <f>SUM(Table2[[#This Row],[Food average]:[Miscelleneous and general index]])</f>
        <v>1263.0666666666666</v>
      </c>
    </row>
    <row r="281" spans="1:12" hidden="1" x14ac:dyDescent="0.25">
      <c r="A281" t="s">
        <v>28</v>
      </c>
      <c r="B281">
        <v>2020</v>
      </c>
      <c r="C281" t="s">
        <v>43</v>
      </c>
      <c r="D281" s="1">
        <v>161.57692307692307</v>
      </c>
      <c r="E281">
        <v>183.6</v>
      </c>
      <c r="F281" s="1">
        <v>154.96666666666667</v>
      </c>
      <c r="G281" s="1">
        <v>149.5</v>
      </c>
      <c r="H281">
        <v>153.9</v>
      </c>
      <c r="I281">
        <v>162.9</v>
      </c>
      <c r="J281">
        <v>159.1</v>
      </c>
      <c r="K281" s="1">
        <v>157.94999999999999</v>
      </c>
      <c r="L281">
        <f>SUM(Table2[[#This Row],[Food average]:[Miscelleneous and general index]])</f>
        <v>1283.4935897435896</v>
      </c>
    </row>
    <row r="282" spans="1:12" hidden="1" x14ac:dyDescent="0.25">
      <c r="A282" t="s">
        <v>30</v>
      </c>
      <c r="B282">
        <v>2020</v>
      </c>
      <c r="C282" t="s">
        <v>43</v>
      </c>
      <c r="D282" s="1">
        <v>163.49230769230769</v>
      </c>
      <c r="E282">
        <v>190.2</v>
      </c>
      <c r="F282" s="1">
        <v>146.06666666666669</v>
      </c>
      <c r="G282" s="1">
        <v>144.32499999999999</v>
      </c>
      <c r="H282">
        <v>144.30000000000001</v>
      </c>
      <c r="I282">
        <v>156.9</v>
      </c>
      <c r="J282">
        <v>155.4</v>
      </c>
      <c r="K282" s="1">
        <v>151.9</v>
      </c>
      <c r="L282">
        <f>SUM(Table2[[#This Row],[Food average]:[Miscelleneous and general index]])</f>
        <v>1252.5839743589743</v>
      </c>
    </row>
    <row r="283" spans="1:12" x14ac:dyDescent="0.25">
      <c r="A283" t="s">
        <v>31</v>
      </c>
      <c r="B283">
        <v>2020</v>
      </c>
      <c r="C283" t="s">
        <v>43</v>
      </c>
      <c r="D283" s="1">
        <v>162.23846153846154</v>
      </c>
      <c r="E283">
        <v>185.4</v>
      </c>
      <c r="F283" s="1">
        <v>151.33333333333334</v>
      </c>
      <c r="G283" s="1">
        <v>148.35</v>
      </c>
      <c r="H283">
        <v>148.5</v>
      </c>
      <c r="I283">
        <v>159.4</v>
      </c>
      <c r="J283">
        <v>157.69999999999999</v>
      </c>
      <c r="K283" s="1">
        <v>155.05000000000001</v>
      </c>
      <c r="L283">
        <f>SUM(Table2[[#This Row],[Food average]:[Miscelleneous and general index]])</f>
        <v>1267.9717948717948</v>
      </c>
    </row>
    <row r="284" spans="1:12" hidden="1" x14ac:dyDescent="0.25">
      <c r="A284" t="s">
        <v>28</v>
      </c>
      <c r="B284">
        <v>2021</v>
      </c>
      <c r="C284" t="s">
        <v>29</v>
      </c>
      <c r="D284" s="1">
        <v>158.89999999999998</v>
      </c>
      <c r="E284">
        <v>184.6</v>
      </c>
      <c r="F284" s="1">
        <v>155.56666666666666</v>
      </c>
      <c r="G284" s="1">
        <v>150.76666666666668</v>
      </c>
      <c r="H284">
        <v>155.1</v>
      </c>
      <c r="I284">
        <v>163.5</v>
      </c>
      <c r="J284">
        <v>159.35</v>
      </c>
      <c r="K284" s="1">
        <v>157.19999999999999</v>
      </c>
      <c r="L284">
        <f>SUM(Table2[[#This Row],[Food average]:[Miscelleneous and general index]])</f>
        <v>1284.9833333333333</v>
      </c>
    </row>
    <row r="285" spans="1:12" hidden="1" x14ac:dyDescent="0.25">
      <c r="A285" t="s">
        <v>30</v>
      </c>
      <c r="B285">
        <v>2021</v>
      </c>
      <c r="C285" t="s">
        <v>29</v>
      </c>
      <c r="D285" s="1">
        <v>161.30769230769232</v>
      </c>
      <c r="E285">
        <v>191.8</v>
      </c>
      <c r="F285" s="1">
        <v>146.66666666666666</v>
      </c>
      <c r="G285" s="1">
        <v>145.80000000000001</v>
      </c>
      <c r="H285">
        <v>145.4</v>
      </c>
      <c r="I285">
        <v>156.1</v>
      </c>
      <c r="J285">
        <v>155.89999999999998</v>
      </c>
      <c r="K285" s="1">
        <v>151.80000000000001</v>
      </c>
      <c r="L285">
        <f>SUM(Table2[[#This Row],[Food average]:[Miscelleneous and general index]])</f>
        <v>1254.7743589743588</v>
      </c>
    </row>
    <row r="286" spans="1:12" x14ac:dyDescent="0.25">
      <c r="A286" t="s">
        <v>31</v>
      </c>
      <c r="B286">
        <v>2021</v>
      </c>
      <c r="C286" t="s">
        <v>29</v>
      </c>
      <c r="D286" s="1">
        <v>159.73076923076923</v>
      </c>
      <c r="E286">
        <v>186.5</v>
      </c>
      <c r="F286" s="1">
        <v>151.93333333333334</v>
      </c>
      <c r="G286" s="1">
        <v>149.375</v>
      </c>
      <c r="H286">
        <v>149.6</v>
      </c>
      <c r="I286">
        <v>159.19999999999999</v>
      </c>
      <c r="J286">
        <v>158.05000000000001</v>
      </c>
      <c r="K286" s="1">
        <v>154.60000000000002</v>
      </c>
      <c r="L286">
        <f>SUM(Table2[[#This Row],[Food average]:[Miscelleneous and general index]])</f>
        <v>1268.9891025641027</v>
      </c>
    </row>
    <row r="287" spans="1:12" hidden="1" x14ac:dyDescent="0.25">
      <c r="A287" t="s">
        <v>28</v>
      </c>
      <c r="B287">
        <v>2021</v>
      </c>
      <c r="C287" t="s">
        <v>32</v>
      </c>
      <c r="D287" s="1">
        <v>155.7923076923077</v>
      </c>
      <c r="E287">
        <v>186.5</v>
      </c>
      <c r="F287" s="1">
        <v>157.13333333333333</v>
      </c>
      <c r="G287" s="1">
        <v>153.13333333333335</v>
      </c>
      <c r="H287">
        <v>157</v>
      </c>
      <c r="I287">
        <v>163.6</v>
      </c>
      <c r="J287">
        <v>159.75</v>
      </c>
      <c r="K287" s="1">
        <v>156.94999999999999</v>
      </c>
      <c r="L287">
        <f>SUM(Table2[[#This Row],[Food average]:[Miscelleneous and general index]])</f>
        <v>1289.8589743589744</v>
      </c>
    </row>
    <row r="288" spans="1:12" hidden="1" x14ac:dyDescent="0.25">
      <c r="A288" t="s">
        <v>30</v>
      </c>
      <c r="B288">
        <v>2021</v>
      </c>
      <c r="C288" t="s">
        <v>32</v>
      </c>
      <c r="D288" s="1">
        <v>158.92307692307693</v>
      </c>
      <c r="E288">
        <v>193.3</v>
      </c>
      <c r="F288" s="1">
        <v>148.06666666666666</v>
      </c>
      <c r="G288" s="1">
        <v>148.97499999999999</v>
      </c>
      <c r="H288">
        <v>147.30000000000001</v>
      </c>
      <c r="I288">
        <v>156.6</v>
      </c>
      <c r="J288">
        <v>156.5</v>
      </c>
      <c r="K288" s="1">
        <v>152.9</v>
      </c>
      <c r="L288">
        <f>SUM(Table2[[#This Row],[Food average]:[Miscelleneous and general index]])</f>
        <v>1262.5647435897436</v>
      </c>
    </row>
    <row r="289" spans="1:12" x14ac:dyDescent="0.25">
      <c r="A289" t="s">
        <v>31</v>
      </c>
      <c r="B289">
        <v>2021</v>
      </c>
      <c r="C289" t="s">
        <v>32</v>
      </c>
      <c r="D289" s="1">
        <v>156.8692307692308</v>
      </c>
      <c r="E289">
        <v>188.3</v>
      </c>
      <c r="F289" s="1">
        <v>153.46666666666667</v>
      </c>
      <c r="G289" s="1">
        <v>152.05000000000001</v>
      </c>
      <c r="H289">
        <v>151.5</v>
      </c>
      <c r="I289">
        <v>159.5</v>
      </c>
      <c r="J289">
        <v>158.55000000000001</v>
      </c>
      <c r="K289" s="1">
        <v>155</v>
      </c>
      <c r="L289">
        <f>SUM(Table2[[#This Row],[Food average]:[Miscelleneous and general index]])</f>
        <v>1275.2358974358974</v>
      </c>
    </row>
    <row r="290" spans="1:12" hidden="1" x14ac:dyDescent="0.25">
      <c r="A290" t="s">
        <v>28</v>
      </c>
      <c r="B290">
        <v>2021</v>
      </c>
      <c r="C290" t="s">
        <v>33</v>
      </c>
      <c r="D290" s="1">
        <v>155.82307692307694</v>
      </c>
      <c r="E290">
        <v>186.1</v>
      </c>
      <c r="F290" s="1">
        <v>157.63333333333333</v>
      </c>
      <c r="G290" s="1">
        <v>154.03333333333333</v>
      </c>
      <c r="H290">
        <v>157.80000000000001</v>
      </c>
      <c r="I290">
        <v>163.80000000000001</v>
      </c>
      <c r="J290">
        <v>158.85</v>
      </c>
      <c r="K290" s="1">
        <v>157</v>
      </c>
      <c r="L290">
        <f>SUM(Table2[[#This Row],[Food average]:[Miscelleneous and general index]])</f>
        <v>1291.0397435897435</v>
      </c>
    </row>
    <row r="291" spans="1:12" hidden="1" x14ac:dyDescent="0.25">
      <c r="A291" t="s">
        <v>30</v>
      </c>
      <c r="B291">
        <v>2021</v>
      </c>
      <c r="C291" t="s">
        <v>33</v>
      </c>
      <c r="D291" s="1">
        <v>158.80769230769226</v>
      </c>
      <c r="E291">
        <v>193.5</v>
      </c>
      <c r="F291" s="1">
        <v>148.79999999999998</v>
      </c>
      <c r="G291" s="1">
        <v>150.9</v>
      </c>
      <c r="H291">
        <v>148.6</v>
      </c>
      <c r="I291">
        <v>157.6</v>
      </c>
      <c r="J291">
        <v>155.9</v>
      </c>
      <c r="K291" s="1">
        <v>153.44999999999999</v>
      </c>
      <c r="L291">
        <f>SUM(Table2[[#This Row],[Food average]:[Miscelleneous and general index]])</f>
        <v>1267.5576923076924</v>
      </c>
    </row>
    <row r="292" spans="1:12" x14ac:dyDescent="0.25">
      <c r="A292" t="s">
        <v>31</v>
      </c>
      <c r="B292">
        <v>2021</v>
      </c>
      <c r="C292" t="s">
        <v>33</v>
      </c>
      <c r="D292" s="1">
        <v>156.87692307692308</v>
      </c>
      <c r="E292">
        <v>188.1</v>
      </c>
      <c r="F292" s="1">
        <v>154.03333333333333</v>
      </c>
      <c r="G292" s="1">
        <v>153.19999999999999</v>
      </c>
      <c r="H292">
        <v>152.6</v>
      </c>
      <c r="I292">
        <v>160.19999999999999</v>
      </c>
      <c r="J292">
        <v>157.75</v>
      </c>
      <c r="K292" s="1">
        <v>155.30000000000001</v>
      </c>
      <c r="L292">
        <f>SUM(Table2[[#This Row],[Food average]:[Miscelleneous and general index]])</f>
        <v>1278.0602564102562</v>
      </c>
    </row>
    <row r="293" spans="1:12" hidden="1" x14ac:dyDescent="0.25">
      <c r="A293" t="s">
        <v>28</v>
      </c>
      <c r="B293">
        <v>2021</v>
      </c>
      <c r="C293" t="s">
        <v>34</v>
      </c>
      <c r="D293" s="1">
        <v>157.65384615384616</v>
      </c>
      <c r="E293">
        <v>186.8</v>
      </c>
      <c r="F293" s="1">
        <v>158.56666666666663</v>
      </c>
      <c r="G293" s="1">
        <v>154.4</v>
      </c>
      <c r="H293">
        <v>158.6</v>
      </c>
      <c r="I293">
        <v>164.1</v>
      </c>
      <c r="J293">
        <v>159.94999999999999</v>
      </c>
      <c r="K293" s="1">
        <v>157.80000000000001</v>
      </c>
      <c r="L293">
        <f>SUM(Table2[[#This Row],[Food average]:[Miscelleneous and general index]])</f>
        <v>1297.8705128205127</v>
      </c>
    </row>
    <row r="294" spans="1:12" hidden="1" x14ac:dyDescent="0.25">
      <c r="A294" t="s">
        <v>30</v>
      </c>
      <c r="B294">
        <v>2021</v>
      </c>
      <c r="C294" t="s">
        <v>34</v>
      </c>
      <c r="D294" s="1">
        <v>160.73846153846154</v>
      </c>
      <c r="E294">
        <v>194.4</v>
      </c>
      <c r="F294" s="1">
        <v>149.53333333333333</v>
      </c>
      <c r="G294" s="1">
        <v>151.5</v>
      </c>
      <c r="H294">
        <v>149.1</v>
      </c>
      <c r="I294">
        <v>157.6</v>
      </c>
      <c r="J294">
        <v>157.05000000000001</v>
      </c>
      <c r="K294" s="1">
        <v>154.25</v>
      </c>
      <c r="L294">
        <f>SUM(Table2[[#This Row],[Food average]:[Miscelleneous and general index]])</f>
        <v>1274.1717948717949</v>
      </c>
    </row>
    <row r="295" spans="1:12" x14ac:dyDescent="0.25">
      <c r="A295" t="s">
        <v>31</v>
      </c>
      <c r="B295">
        <v>2021</v>
      </c>
      <c r="C295" t="s">
        <v>34</v>
      </c>
      <c r="D295" s="1">
        <v>158.77692307692308</v>
      </c>
      <c r="E295">
        <v>188.8</v>
      </c>
      <c r="F295" s="1">
        <v>154.86666666666667</v>
      </c>
      <c r="G295" s="1">
        <v>153.85</v>
      </c>
      <c r="H295">
        <v>153.19999999999999</v>
      </c>
      <c r="I295">
        <v>160.30000000000001</v>
      </c>
      <c r="J295">
        <v>158.85000000000002</v>
      </c>
      <c r="K295" s="1">
        <v>156.10000000000002</v>
      </c>
      <c r="L295">
        <f>SUM(Table2[[#This Row],[Food average]:[Miscelleneous and general index]])</f>
        <v>1284.7435897435898</v>
      </c>
    </row>
    <row r="296" spans="1:12" hidden="1" x14ac:dyDescent="0.25">
      <c r="A296" t="s">
        <v>28</v>
      </c>
      <c r="B296">
        <v>2021</v>
      </c>
      <c r="C296" t="s">
        <v>35</v>
      </c>
      <c r="D296" s="1">
        <v>161.17692307692306</v>
      </c>
      <c r="E296">
        <v>189.6</v>
      </c>
      <c r="F296" s="1">
        <v>163.46666666666667</v>
      </c>
      <c r="G296" s="1">
        <v>157.9</v>
      </c>
      <c r="H296">
        <v>160</v>
      </c>
      <c r="I296">
        <v>167.6</v>
      </c>
      <c r="J296">
        <v>164.2</v>
      </c>
      <c r="K296" s="1">
        <v>161.1</v>
      </c>
      <c r="L296">
        <f>SUM(Table2[[#This Row],[Food average]:[Miscelleneous and general index]])</f>
        <v>1325.0435897435896</v>
      </c>
    </row>
    <row r="297" spans="1:12" hidden="1" x14ac:dyDescent="0.25">
      <c r="A297" t="s">
        <v>30</v>
      </c>
      <c r="B297">
        <v>2021</v>
      </c>
      <c r="C297" t="s">
        <v>35</v>
      </c>
      <c r="D297" s="1">
        <v>163.43846153846155</v>
      </c>
      <c r="E297">
        <v>198.2</v>
      </c>
      <c r="F297" s="1">
        <v>150.26666666666665</v>
      </c>
      <c r="G297" s="1">
        <v>153.05000000000001</v>
      </c>
      <c r="H297">
        <v>152.6</v>
      </c>
      <c r="I297">
        <v>156.6</v>
      </c>
      <c r="J297">
        <v>158.94999999999999</v>
      </c>
      <c r="K297" s="1">
        <v>155.9</v>
      </c>
      <c r="L297">
        <f>SUM(Table2[[#This Row],[Food average]:[Miscelleneous and general index]])</f>
        <v>1289.0051282051284</v>
      </c>
    </row>
    <row r="298" spans="1:12" x14ac:dyDescent="0.25">
      <c r="A298" t="s">
        <v>31</v>
      </c>
      <c r="B298">
        <v>2021</v>
      </c>
      <c r="C298" t="s">
        <v>35</v>
      </c>
      <c r="D298" s="1">
        <v>161.9769230769231</v>
      </c>
      <c r="E298">
        <v>191.9</v>
      </c>
      <c r="F298" s="1">
        <v>158.1</v>
      </c>
      <c r="G298" s="1">
        <v>156.15</v>
      </c>
      <c r="H298">
        <v>155.80000000000001</v>
      </c>
      <c r="I298">
        <v>161.19999999999999</v>
      </c>
      <c r="J298">
        <v>162.19999999999999</v>
      </c>
      <c r="K298" s="1">
        <v>158.60000000000002</v>
      </c>
      <c r="L298">
        <f>SUM(Table2[[#This Row],[Food average]:[Miscelleneous and general index]])</f>
        <v>1305.9269230769232</v>
      </c>
    </row>
    <row r="299" spans="1:12" hidden="1" x14ac:dyDescent="0.25">
      <c r="A299" t="s">
        <v>28</v>
      </c>
      <c r="B299">
        <v>2021</v>
      </c>
      <c r="C299" t="s">
        <v>36</v>
      </c>
      <c r="D299" s="1">
        <v>163.27692307692308</v>
      </c>
      <c r="E299">
        <v>189.1</v>
      </c>
      <c r="F299" s="1">
        <v>163.26666666666668</v>
      </c>
      <c r="G299" s="1">
        <v>158.49999999999997</v>
      </c>
      <c r="H299">
        <v>160.4</v>
      </c>
      <c r="I299">
        <v>166.8</v>
      </c>
      <c r="J299">
        <v>164.55</v>
      </c>
      <c r="K299" s="1">
        <v>161.80000000000001</v>
      </c>
      <c r="L299">
        <f>SUM(Table2[[#This Row],[Food average]:[Miscelleneous and general index]])</f>
        <v>1327.6935897435897</v>
      </c>
    </row>
    <row r="300" spans="1:12" hidden="1" x14ac:dyDescent="0.25">
      <c r="A300" t="s">
        <v>30</v>
      </c>
      <c r="B300">
        <v>2021</v>
      </c>
      <c r="C300" t="s">
        <v>36</v>
      </c>
      <c r="D300" s="1">
        <v>165.7076923076923</v>
      </c>
      <c r="E300">
        <v>195.6</v>
      </c>
      <c r="F300" s="1">
        <v>150.86666666666667</v>
      </c>
      <c r="G300" s="1">
        <v>153.47500000000002</v>
      </c>
      <c r="H300">
        <v>150.69999999999999</v>
      </c>
      <c r="I300">
        <v>158.1</v>
      </c>
      <c r="J300">
        <v>159.4</v>
      </c>
      <c r="K300" s="1">
        <v>156.9</v>
      </c>
      <c r="L300">
        <f>SUM(Table2[[#This Row],[Food average]:[Miscelleneous and general index]])</f>
        <v>1290.749358974359</v>
      </c>
    </row>
    <row r="301" spans="1:12" x14ac:dyDescent="0.25">
      <c r="A301" t="s">
        <v>31</v>
      </c>
      <c r="B301">
        <v>2021</v>
      </c>
      <c r="C301" t="s">
        <v>36</v>
      </c>
      <c r="D301" s="1">
        <v>164.14615384615385</v>
      </c>
      <c r="E301">
        <v>190.8</v>
      </c>
      <c r="F301" s="1">
        <v>158.23333333333332</v>
      </c>
      <c r="G301" s="1">
        <v>156.44999999999999</v>
      </c>
      <c r="H301">
        <v>154.9</v>
      </c>
      <c r="I301">
        <v>161.69999999999999</v>
      </c>
      <c r="J301">
        <v>162.55000000000001</v>
      </c>
      <c r="K301" s="1">
        <v>159.44999999999999</v>
      </c>
      <c r="L301">
        <f>SUM(Table2[[#This Row],[Food average]:[Miscelleneous and general index]])</f>
        <v>1308.229487179487</v>
      </c>
    </row>
    <row r="302" spans="1:12" hidden="1" x14ac:dyDescent="0.25">
      <c r="A302" t="s">
        <v>28</v>
      </c>
      <c r="B302">
        <v>2021</v>
      </c>
      <c r="C302" t="s">
        <v>37</v>
      </c>
      <c r="D302" s="1">
        <v>164.03076923076924</v>
      </c>
      <c r="E302">
        <v>189.7</v>
      </c>
      <c r="F302" s="1">
        <v>164.13333333333335</v>
      </c>
      <c r="G302" s="1">
        <v>159.96666666666667</v>
      </c>
      <c r="H302">
        <v>160.69999999999999</v>
      </c>
      <c r="I302">
        <v>167.2</v>
      </c>
      <c r="J302">
        <v>165.4</v>
      </c>
      <c r="K302" s="1">
        <v>163</v>
      </c>
      <c r="L302">
        <f>SUM(Table2[[#This Row],[Food average]:[Miscelleneous and general index]])</f>
        <v>1334.1307692307694</v>
      </c>
    </row>
    <row r="303" spans="1:12" hidden="1" x14ac:dyDescent="0.25">
      <c r="A303" t="s">
        <v>30</v>
      </c>
      <c r="B303">
        <v>2021</v>
      </c>
      <c r="C303" t="s">
        <v>37</v>
      </c>
      <c r="D303" s="1">
        <v>167.06153846153848</v>
      </c>
      <c r="E303">
        <v>195.5</v>
      </c>
      <c r="F303" s="1">
        <v>151.76666666666668</v>
      </c>
      <c r="G303" s="1">
        <v>154.85</v>
      </c>
      <c r="H303">
        <v>151.19999999999999</v>
      </c>
      <c r="I303">
        <v>160.30000000000001</v>
      </c>
      <c r="J303">
        <v>160.55000000000001</v>
      </c>
      <c r="K303" s="1">
        <v>158.4</v>
      </c>
      <c r="L303">
        <f>SUM(Table2[[#This Row],[Food average]:[Miscelleneous and general index]])</f>
        <v>1299.6282051282051</v>
      </c>
    </row>
    <row r="304" spans="1:12" x14ac:dyDescent="0.25">
      <c r="A304" t="s">
        <v>31</v>
      </c>
      <c r="B304">
        <v>2021</v>
      </c>
      <c r="C304" t="s">
        <v>37</v>
      </c>
      <c r="D304" s="1">
        <v>165.15384615384616</v>
      </c>
      <c r="E304">
        <v>191.2</v>
      </c>
      <c r="F304" s="1">
        <v>159.1</v>
      </c>
      <c r="G304" s="1">
        <v>157.77500000000001</v>
      </c>
      <c r="H304">
        <v>155.30000000000001</v>
      </c>
      <c r="I304">
        <v>163.19999999999999</v>
      </c>
      <c r="J304">
        <v>163.55000000000001</v>
      </c>
      <c r="K304" s="1">
        <v>160.75</v>
      </c>
      <c r="L304">
        <f>SUM(Table2[[#This Row],[Food average]:[Miscelleneous and general index]])</f>
        <v>1316.0288461538462</v>
      </c>
    </row>
    <row r="305" spans="1:12" hidden="1" x14ac:dyDescent="0.25">
      <c r="A305" t="s">
        <v>28</v>
      </c>
      <c r="B305">
        <v>2021</v>
      </c>
      <c r="C305" t="s">
        <v>38</v>
      </c>
      <c r="D305" s="1">
        <v>163.90769230769232</v>
      </c>
      <c r="E305">
        <v>190.2</v>
      </c>
      <c r="F305" s="1">
        <v>165.3</v>
      </c>
      <c r="G305" s="1">
        <v>160.56666666666666</v>
      </c>
      <c r="H305">
        <v>161.1</v>
      </c>
      <c r="I305">
        <v>167.5</v>
      </c>
      <c r="J305">
        <v>165.7</v>
      </c>
      <c r="K305" s="1">
        <v>163.44999999999999</v>
      </c>
      <c r="L305">
        <f>SUM(Table2[[#This Row],[Food average]:[Miscelleneous and general index]])</f>
        <v>1337.7243589743589</v>
      </c>
    </row>
    <row r="306" spans="1:12" hidden="1" x14ac:dyDescent="0.25">
      <c r="A306" t="s">
        <v>30</v>
      </c>
      <c r="B306">
        <v>2021</v>
      </c>
      <c r="C306" t="s">
        <v>38</v>
      </c>
      <c r="D306" s="1">
        <v>165.99230769230769</v>
      </c>
      <c r="E306">
        <v>196.5</v>
      </c>
      <c r="F306" s="1">
        <v>153.56666666666666</v>
      </c>
      <c r="G306" s="1">
        <v>156.6</v>
      </c>
      <c r="H306">
        <v>153.69999999999999</v>
      </c>
      <c r="I306">
        <v>160.4</v>
      </c>
      <c r="J306">
        <v>161.19999999999999</v>
      </c>
      <c r="K306" s="1">
        <v>159.15</v>
      </c>
      <c r="L306">
        <f>SUM(Table2[[#This Row],[Food average]:[Miscelleneous and general index]])</f>
        <v>1307.1089743589744</v>
      </c>
    </row>
    <row r="307" spans="1:12" x14ac:dyDescent="0.25">
      <c r="A307" t="s">
        <v>31</v>
      </c>
      <c r="B307">
        <v>2021</v>
      </c>
      <c r="C307" t="s">
        <v>38</v>
      </c>
      <c r="D307" s="1">
        <v>164.76923076923077</v>
      </c>
      <c r="E307">
        <v>192.1</v>
      </c>
      <c r="F307" s="1">
        <v>161</v>
      </c>
      <c r="G307" s="1">
        <v>159.05000000000001</v>
      </c>
      <c r="H307">
        <v>157.6</v>
      </c>
      <c r="I307">
        <v>163.80000000000001</v>
      </c>
      <c r="J307">
        <v>164.2</v>
      </c>
      <c r="K307" s="1">
        <v>161.6</v>
      </c>
      <c r="L307">
        <f>SUM(Table2[[#This Row],[Food average]:[Miscelleneous and general index]])</f>
        <v>1324.1192307692309</v>
      </c>
    </row>
    <row r="308" spans="1:12" hidden="1" x14ac:dyDescent="0.25">
      <c r="A308" t="s">
        <v>28</v>
      </c>
      <c r="B308">
        <v>2021</v>
      </c>
      <c r="C308" t="s">
        <v>39</v>
      </c>
      <c r="D308" s="1">
        <v>164.12307692307692</v>
      </c>
      <c r="E308">
        <v>190.5</v>
      </c>
      <c r="F308" s="1">
        <v>166.13333333333333</v>
      </c>
      <c r="G308" s="1">
        <v>160.93333333333334</v>
      </c>
      <c r="H308">
        <v>162.69999999999999</v>
      </c>
      <c r="I308">
        <v>168.5</v>
      </c>
      <c r="J308">
        <v>166.05</v>
      </c>
      <c r="K308" s="1">
        <v>163.9</v>
      </c>
      <c r="L308">
        <f>SUM(Table2[[#This Row],[Food average]:[Miscelleneous and general index]])</f>
        <v>1342.8397435897436</v>
      </c>
    </row>
    <row r="309" spans="1:12" hidden="1" x14ac:dyDescent="0.25">
      <c r="A309" t="s">
        <v>30</v>
      </c>
      <c r="B309">
        <v>2021</v>
      </c>
      <c r="C309" t="s">
        <v>39</v>
      </c>
      <c r="D309" s="1">
        <v>165.99230769230769</v>
      </c>
      <c r="E309">
        <v>196.5</v>
      </c>
      <c r="F309" s="1">
        <v>153.6</v>
      </c>
      <c r="G309" s="1">
        <v>156.67500000000001</v>
      </c>
      <c r="H309">
        <v>153.9</v>
      </c>
      <c r="I309">
        <v>160.30000000000001</v>
      </c>
      <c r="J309">
        <v>161.19999999999999</v>
      </c>
      <c r="K309" s="1">
        <v>159.15</v>
      </c>
      <c r="L309">
        <f>SUM(Table2[[#This Row],[Food average]:[Miscelleneous and general index]])</f>
        <v>1307.3173076923078</v>
      </c>
    </row>
    <row r="310" spans="1:12" x14ac:dyDescent="0.25">
      <c r="A310" t="s">
        <v>31</v>
      </c>
      <c r="B310">
        <v>2021</v>
      </c>
      <c r="C310" t="s">
        <v>39</v>
      </c>
      <c r="D310" s="1">
        <v>164.76923076923077</v>
      </c>
      <c r="E310">
        <v>192.1</v>
      </c>
      <c r="F310" s="1">
        <v>161.06666666666666</v>
      </c>
      <c r="G310" s="1">
        <v>159.05000000000001</v>
      </c>
      <c r="H310">
        <v>157.69999999999999</v>
      </c>
      <c r="I310">
        <v>163.69999999999999</v>
      </c>
      <c r="J310">
        <v>164.2</v>
      </c>
      <c r="K310" s="1">
        <v>161.6</v>
      </c>
      <c r="L310">
        <f>SUM(Table2[[#This Row],[Food average]:[Miscelleneous and general index]])</f>
        <v>1324.1858974358975</v>
      </c>
    </row>
    <row r="311" spans="1:12" hidden="1" x14ac:dyDescent="0.25">
      <c r="A311" t="s">
        <v>28</v>
      </c>
      <c r="B311">
        <v>2021</v>
      </c>
      <c r="C311" t="s">
        <v>40</v>
      </c>
      <c r="D311" s="1">
        <v>166.47692307692307</v>
      </c>
      <c r="E311">
        <v>191.2</v>
      </c>
      <c r="F311" s="1">
        <v>167.33333333333334</v>
      </c>
      <c r="G311" s="1">
        <v>162.33333333333334</v>
      </c>
      <c r="H311">
        <v>163.19999999999999</v>
      </c>
      <c r="I311">
        <v>169</v>
      </c>
      <c r="J311">
        <v>166.8</v>
      </c>
      <c r="K311" s="1">
        <v>165.5</v>
      </c>
      <c r="L311">
        <f>SUM(Table2[[#This Row],[Food average]:[Miscelleneous and general index]])</f>
        <v>1351.8435897435897</v>
      </c>
    </row>
    <row r="312" spans="1:12" hidden="1" x14ac:dyDescent="0.25">
      <c r="A312" t="s">
        <v>30</v>
      </c>
      <c r="B312">
        <v>2021</v>
      </c>
      <c r="C312" t="s">
        <v>40</v>
      </c>
      <c r="D312" s="1">
        <v>169.10769230769236</v>
      </c>
      <c r="E312">
        <v>197</v>
      </c>
      <c r="F312" s="1">
        <v>154.50000000000003</v>
      </c>
      <c r="G312" s="1">
        <v>158.07499999999999</v>
      </c>
      <c r="H312">
        <v>155.1</v>
      </c>
      <c r="I312">
        <v>160.30000000000001</v>
      </c>
      <c r="J312">
        <v>161.9</v>
      </c>
      <c r="K312" s="1">
        <v>160.80000000000001</v>
      </c>
      <c r="L312">
        <f>SUM(Table2[[#This Row],[Food average]:[Miscelleneous and general index]])</f>
        <v>1316.7826923076925</v>
      </c>
    </row>
    <row r="313" spans="1:12" x14ac:dyDescent="0.25">
      <c r="A313" t="s">
        <v>31</v>
      </c>
      <c r="B313">
        <v>2021</v>
      </c>
      <c r="C313" t="s">
        <v>40</v>
      </c>
      <c r="D313" s="1">
        <v>167.34615384615384</v>
      </c>
      <c r="E313">
        <v>192.7</v>
      </c>
      <c r="F313" s="1">
        <v>162.1</v>
      </c>
      <c r="G313" s="1">
        <v>160.47499999999997</v>
      </c>
      <c r="H313">
        <v>158.6</v>
      </c>
      <c r="I313">
        <v>163.9</v>
      </c>
      <c r="J313">
        <v>164.95</v>
      </c>
      <c r="K313" s="1">
        <v>163.25</v>
      </c>
      <c r="L313">
        <f>SUM(Table2[[#This Row],[Food average]:[Miscelleneous and general index]])</f>
        <v>1333.3211538461539</v>
      </c>
    </row>
    <row r="314" spans="1:12" hidden="1" x14ac:dyDescent="0.25">
      <c r="A314" t="s">
        <v>28</v>
      </c>
      <c r="B314">
        <v>2021</v>
      </c>
      <c r="C314" t="s">
        <v>42</v>
      </c>
      <c r="D314" s="1">
        <v>167.84615384615384</v>
      </c>
      <c r="E314">
        <v>191.4</v>
      </c>
      <c r="F314" s="1">
        <v>168.73333333333332</v>
      </c>
      <c r="G314" s="1">
        <v>162.36666666666667</v>
      </c>
      <c r="H314">
        <v>163.80000000000001</v>
      </c>
      <c r="I314">
        <v>169.3</v>
      </c>
      <c r="J314">
        <v>167.9</v>
      </c>
      <c r="K314" s="1">
        <v>166.39999999999998</v>
      </c>
      <c r="L314">
        <f>SUM(Table2[[#This Row],[Food average]:[Miscelleneous and general index]])</f>
        <v>1357.7461538461539</v>
      </c>
    </row>
    <row r="315" spans="1:12" hidden="1" x14ac:dyDescent="0.25">
      <c r="A315" t="s">
        <v>30</v>
      </c>
      <c r="B315">
        <v>2021</v>
      </c>
      <c r="C315" t="s">
        <v>42</v>
      </c>
      <c r="D315" s="1">
        <v>170.60769230769228</v>
      </c>
      <c r="E315">
        <v>197</v>
      </c>
      <c r="F315" s="1">
        <v>155.76666666666668</v>
      </c>
      <c r="G315" s="1">
        <v>158.04999999999998</v>
      </c>
      <c r="H315">
        <v>156.69999999999999</v>
      </c>
      <c r="I315">
        <v>160.80000000000001</v>
      </c>
      <c r="J315">
        <v>163</v>
      </c>
      <c r="K315" s="1">
        <v>161.44999999999999</v>
      </c>
      <c r="L315">
        <f>SUM(Table2[[#This Row],[Food average]:[Miscelleneous and general index]])</f>
        <v>1323.374358974359</v>
      </c>
    </row>
    <row r="316" spans="1:12" x14ac:dyDescent="0.25">
      <c r="A316" t="s">
        <v>31</v>
      </c>
      <c r="B316">
        <v>2021</v>
      </c>
      <c r="C316" t="s">
        <v>42</v>
      </c>
      <c r="D316" s="1">
        <v>168.77692307692308</v>
      </c>
      <c r="E316">
        <v>192.9</v>
      </c>
      <c r="F316" s="1">
        <v>163.46666666666667</v>
      </c>
      <c r="G316" s="1">
        <v>160.55000000000001</v>
      </c>
      <c r="H316">
        <v>159.80000000000001</v>
      </c>
      <c r="I316">
        <v>164.3</v>
      </c>
      <c r="J316">
        <v>166.05</v>
      </c>
      <c r="K316" s="1">
        <v>164.05</v>
      </c>
      <c r="L316">
        <f>SUM(Table2[[#This Row],[Food average]:[Miscelleneous and general index]])</f>
        <v>1339.8935897435897</v>
      </c>
    </row>
    <row r="317" spans="1:12" hidden="1" x14ac:dyDescent="0.25">
      <c r="A317" t="s">
        <v>28</v>
      </c>
      <c r="B317">
        <v>2021</v>
      </c>
      <c r="C317" t="s">
        <v>43</v>
      </c>
      <c r="D317" s="1">
        <v>166.78461538461536</v>
      </c>
      <c r="E317">
        <v>190.8</v>
      </c>
      <c r="F317" s="1">
        <v>170.1</v>
      </c>
      <c r="G317" s="1">
        <v>163.20000000000002</v>
      </c>
      <c r="H317">
        <v>164.5</v>
      </c>
      <c r="I317">
        <v>169.7</v>
      </c>
      <c r="J317">
        <v>168.4</v>
      </c>
      <c r="K317" s="1">
        <v>166.5</v>
      </c>
      <c r="L317">
        <f>SUM(Table2[[#This Row],[Food average]:[Miscelleneous and general index]])</f>
        <v>1359.9846153846156</v>
      </c>
    </row>
    <row r="318" spans="1:12" hidden="1" x14ac:dyDescent="0.25">
      <c r="A318" t="s">
        <v>30</v>
      </c>
      <c r="B318">
        <v>2021</v>
      </c>
      <c r="C318" t="s">
        <v>43</v>
      </c>
      <c r="D318" s="1">
        <v>169.71538461538464</v>
      </c>
      <c r="E318">
        <v>196.8</v>
      </c>
      <c r="F318" s="1">
        <v>156.9</v>
      </c>
      <c r="G318" s="1">
        <v>158.22500000000002</v>
      </c>
      <c r="H318">
        <v>157.6</v>
      </c>
      <c r="I318">
        <v>160.6</v>
      </c>
      <c r="J318">
        <v>163.75</v>
      </c>
      <c r="K318" s="1">
        <v>161.5</v>
      </c>
      <c r="L318">
        <f>SUM(Table2[[#This Row],[Food average]:[Miscelleneous and general index]])</f>
        <v>1325.0903846153847</v>
      </c>
    </row>
    <row r="319" spans="1:12" x14ac:dyDescent="0.25">
      <c r="A319" t="s">
        <v>31</v>
      </c>
      <c r="B319">
        <v>2021</v>
      </c>
      <c r="C319" t="s">
        <v>43</v>
      </c>
      <c r="D319" s="1">
        <v>167.76153846153846</v>
      </c>
      <c r="E319">
        <v>192.4</v>
      </c>
      <c r="F319" s="1">
        <v>164.73333333333332</v>
      </c>
      <c r="G319" s="1">
        <v>160.85</v>
      </c>
      <c r="H319">
        <v>160.6</v>
      </c>
      <c r="I319">
        <v>164.4</v>
      </c>
      <c r="J319">
        <v>166.6</v>
      </c>
      <c r="K319" s="1">
        <v>164.1</v>
      </c>
      <c r="L319">
        <f>SUM(Table2[[#This Row],[Food average]:[Miscelleneous and general index]])</f>
        <v>1341.4448717948717</v>
      </c>
    </row>
    <row r="320" spans="1:12" hidden="1" x14ac:dyDescent="0.25">
      <c r="A320" t="s">
        <v>28</v>
      </c>
      <c r="B320">
        <v>2022</v>
      </c>
      <c r="C320" t="s">
        <v>29</v>
      </c>
      <c r="D320" s="1">
        <v>165.61538461538461</v>
      </c>
      <c r="E320">
        <v>190.7</v>
      </c>
      <c r="F320" s="1">
        <v>171.73333333333335</v>
      </c>
      <c r="G320" s="1">
        <v>163.83333333333334</v>
      </c>
      <c r="H320">
        <v>164.9</v>
      </c>
      <c r="I320">
        <v>169.9</v>
      </c>
      <c r="J320">
        <v>168.95</v>
      </c>
      <c r="K320" s="1">
        <v>166.5</v>
      </c>
      <c r="L320">
        <f>SUM(Table2[[#This Row],[Food average]:[Miscelleneous and general index]])</f>
        <v>1362.1320512820514</v>
      </c>
    </row>
    <row r="321" spans="1:12" hidden="1" x14ac:dyDescent="0.25">
      <c r="A321" t="s">
        <v>30</v>
      </c>
      <c r="B321">
        <v>2022</v>
      </c>
      <c r="C321" t="s">
        <v>29</v>
      </c>
      <c r="D321" s="1">
        <v>168.2076923076923</v>
      </c>
      <c r="E321">
        <v>196.4</v>
      </c>
      <c r="F321" s="1">
        <v>158.46666666666667</v>
      </c>
      <c r="G321" s="1">
        <v>158.9</v>
      </c>
      <c r="H321">
        <v>158.4</v>
      </c>
      <c r="I321">
        <v>161</v>
      </c>
      <c r="J321">
        <v>164.45</v>
      </c>
      <c r="K321" s="1">
        <v>161.80000000000001</v>
      </c>
      <c r="L321">
        <f>SUM(Table2[[#This Row],[Food average]:[Miscelleneous and general index]])</f>
        <v>1327.624358974359</v>
      </c>
    </row>
    <row r="322" spans="1:12" hidden="1" x14ac:dyDescent="0.25">
      <c r="A322" t="s">
        <v>31</v>
      </c>
      <c r="B322">
        <v>2022</v>
      </c>
      <c r="C322" t="s">
        <v>29</v>
      </c>
      <c r="D322" s="1">
        <v>166.47692307692307</v>
      </c>
      <c r="E322">
        <v>192.2</v>
      </c>
      <c r="F322" s="1">
        <v>166.36666666666667</v>
      </c>
      <c r="G322" s="1">
        <v>161.57499999999999</v>
      </c>
      <c r="H322">
        <v>161.19999999999999</v>
      </c>
      <c r="I322">
        <v>164.7</v>
      </c>
      <c r="J322">
        <v>167.2</v>
      </c>
      <c r="K322" s="1">
        <v>164.2</v>
      </c>
      <c r="L322">
        <f>SUM(Table2[[#This Row],[Food average]:[Miscelleneous and general index]])</f>
        <v>1343.91858974359</v>
      </c>
    </row>
    <row r="323" spans="1:12" hidden="1" x14ac:dyDescent="0.25">
      <c r="A323" t="s">
        <v>28</v>
      </c>
      <c r="B323">
        <v>2022</v>
      </c>
      <c r="C323" t="s">
        <v>32</v>
      </c>
      <c r="D323" s="1">
        <v>165.41538461538462</v>
      </c>
      <c r="E323">
        <v>191.5</v>
      </c>
      <c r="F323" s="1">
        <v>172.93333333333331</v>
      </c>
      <c r="G323" s="1">
        <v>164.76666666666668</v>
      </c>
      <c r="H323">
        <v>165.5</v>
      </c>
      <c r="I323">
        <v>170.3</v>
      </c>
      <c r="J323">
        <v>169.9</v>
      </c>
      <c r="K323" s="1">
        <v>167</v>
      </c>
      <c r="L323">
        <f>SUM(Table2[[#This Row],[Food average]:[Miscelleneous and general index]])</f>
        <v>1367.3153846153846</v>
      </c>
    </row>
    <row r="324" spans="1:12" hidden="1" x14ac:dyDescent="0.25">
      <c r="A324" t="s">
        <v>30</v>
      </c>
      <c r="B324">
        <v>2022</v>
      </c>
      <c r="C324" t="s">
        <v>32</v>
      </c>
      <c r="D324" s="1">
        <v>167.96153846153845</v>
      </c>
      <c r="E324">
        <v>196.5</v>
      </c>
      <c r="F324" s="1">
        <v>159.83333333333334</v>
      </c>
      <c r="G324" s="1">
        <v>159.75</v>
      </c>
      <c r="H324">
        <v>159.5</v>
      </c>
      <c r="I324">
        <v>162</v>
      </c>
      <c r="J324">
        <v>165.7</v>
      </c>
      <c r="K324" s="1">
        <v>162.44999999999999</v>
      </c>
      <c r="L324">
        <f>SUM(Table2[[#This Row],[Food average]:[Miscelleneous and general index]])</f>
        <v>1333.6948717948719</v>
      </c>
    </row>
    <row r="325" spans="1:12" hidden="1" x14ac:dyDescent="0.25">
      <c r="A325" t="s">
        <v>31</v>
      </c>
      <c r="B325">
        <v>2022</v>
      </c>
      <c r="C325" t="s">
        <v>32</v>
      </c>
      <c r="D325" s="1">
        <v>166.24615384615387</v>
      </c>
      <c r="E325">
        <v>192.8</v>
      </c>
      <c r="F325" s="1">
        <v>167.60000000000002</v>
      </c>
      <c r="G325" s="1">
        <v>162.47499999999999</v>
      </c>
      <c r="H325">
        <v>162.1</v>
      </c>
      <c r="I325">
        <v>165.4</v>
      </c>
      <c r="J325">
        <v>168.3</v>
      </c>
      <c r="K325" s="1">
        <v>164.8</v>
      </c>
      <c r="L325">
        <f>SUM(Table2[[#This Row],[Food average]:[Miscelleneous and general index]])</f>
        <v>1349.7211538461538</v>
      </c>
    </row>
    <row r="326" spans="1:12" hidden="1" x14ac:dyDescent="0.25">
      <c r="A326" t="s">
        <v>28</v>
      </c>
      <c r="B326">
        <v>2022</v>
      </c>
      <c r="C326" t="s">
        <v>33</v>
      </c>
      <c r="D326" s="1">
        <v>167.62307692307695</v>
      </c>
      <c r="E326">
        <v>192.3</v>
      </c>
      <c r="F326" s="1">
        <v>174.56666666666669</v>
      </c>
      <c r="G326" s="1">
        <v>165.79999999999998</v>
      </c>
      <c r="H326">
        <v>166.6</v>
      </c>
      <c r="I326">
        <v>170.6</v>
      </c>
      <c r="J326">
        <v>171.7</v>
      </c>
      <c r="K326" s="1">
        <v>168.5</v>
      </c>
      <c r="L326">
        <f>SUM(Table2[[#This Row],[Food average]:[Miscelleneous and general index]])</f>
        <v>1377.6897435897436</v>
      </c>
    </row>
    <row r="327" spans="1:12" hidden="1" x14ac:dyDescent="0.25">
      <c r="A327" t="s">
        <v>30</v>
      </c>
      <c r="B327">
        <v>2022</v>
      </c>
      <c r="C327" t="s">
        <v>33</v>
      </c>
      <c r="D327" s="1">
        <v>168.94615384615386</v>
      </c>
      <c r="E327">
        <v>197.5</v>
      </c>
      <c r="F327" s="1">
        <v>161.53333333333333</v>
      </c>
      <c r="G327" s="1">
        <v>160.64999999999998</v>
      </c>
      <c r="H327">
        <v>160.80000000000001</v>
      </c>
      <c r="I327">
        <v>162.69999999999999</v>
      </c>
      <c r="J327">
        <v>167.5</v>
      </c>
      <c r="K327" s="1">
        <v>163.55000000000001</v>
      </c>
      <c r="L327">
        <f>SUM(Table2[[#This Row],[Food average]:[Miscelleneous and general index]])</f>
        <v>1343.1794871794871</v>
      </c>
    </row>
    <row r="328" spans="1:12" hidden="1" x14ac:dyDescent="0.25">
      <c r="A328" t="s">
        <v>31</v>
      </c>
      <c r="B328">
        <v>2022</v>
      </c>
      <c r="C328" t="s">
        <v>33</v>
      </c>
      <c r="D328" s="1">
        <v>168.01538461538465</v>
      </c>
      <c r="E328">
        <v>193.7</v>
      </c>
      <c r="F328" s="1">
        <v>169.26666666666665</v>
      </c>
      <c r="G328" s="1">
        <v>163.30000000000001</v>
      </c>
      <c r="H328">
        <v>163.30000000000001</v>
      </c>
      <c r="I328">
        <v>166</v>
      </c>
      <c r="J328">
        <v>170.1</v>
      </c>
      <c r="K328" s="1">
        <v>166.14999999999998</v>
      </c>
      <c r="L328">
        <f>SUM(Table2[[#This Row],[Food average]:[Miscelleneous and general index]])</f>
        <v>1359.832051282051</v>
      </c>
    </row>
    <row r="329" spans="1:12" hidden="1" x14ac:dyDescent="0.25">
      <c r="A329" t="s">
        <v>28</v>
      </c>
      <c r="B329">
        <v>2022</v>
      </c>
      <c r="C329" t="s">
        <v>34</v>
      </c>
      <c r="D329" s="1">
        <v>169.73846153846154</v>
      </c>
      <c r="E329">
        <v>192.8</v>
      </c>
      <c r="F329" s="1">
        <v>176.56666666666669</v>
      </c>
      <c r="G329" s="1">
        <v>169.06666666666666</v>
      </c>
      <c r="H329">
        <v>167.2</v>
      </c>
      <c r="I329">
        <v>170.9</v>
      </c>
      <c r="J329">
        <v>173</v>
      </c>
      <c r="K329" s="1">
        <v>170.5</v>
      </c>
      <c r="L329">
        <f>SUM(Table2[[#This Row],[Food average]:[Miscelleneous and general index]])</f>
        <v>1389.771794871795</v>
      </c>
    </row>
    <row r="330" spans="1:12" hidden="1" x14ac:dyDescent="0.25">
      <c r="A330" t="s">
        <v>30</v>
      </c>
      <c r="B330">
        <v>2022</v>
      </c>
      <c r="C330" t="s">
        <v>34</v>
      </c>
      <c r="D330" s="1">
        <v>171.56923076923078</v>
      </c>
      <c r="E330">
        <v>197.1</v>
      </c>
      <c r="F330" s="1">
        <v>163.06666666666666</v>
      </c>
      <c r="G330" s="1">
        <v>164.15</v>
      </c>
      <c r="H330">
        <v>162.19999999999999</v>
      </c>
      <c r="I330">
        <v>164</v>
      </c>
      <c r="J330">
        <v>168.7</v>
      </c>
      <c r="K330" s="1">
        <v>166.14999999999998</v>
      </c>
      <c r="L330">
        <f>SUM(Table2[[#This Row],[Food average]:[Miscelleneous and general index]])</f>
        <v>1356.9358974358975</v>
      </c>
    </row>
    <row r="331" spans="1:12" hidden="1" x14ac:dyDescent="0.25">
      <c r="A331" t="s">
        <v>31</v>
      </c>
      <c r="B331">
        <v>2022</v>
      </c>
      <c r="C331" t="s">
        <v>34</v>
      </c>
      <c r="D331" s="1">
        <v>170.33076923076925</v>
      </c>
      <c r="E331">
        <v>193.9</v>
      </c>
      <c r="F331" s="1">
        <v>171.06666666666669</v>
      </c>
      <c r="G331" s="1">
        <v>166.45</v>
      </c>
      <c r="H331">
        <v>164.4</v>
      </c>
      <c r="I331">
        <v>166.9</v>
      </c>
      <c r="J331">
        <v>171.4</v>
      </c>
      <c r="K331" s="1">
        <v>168.45</v>
      </c>
      <c r="L331">
        <f>SUM(Table2[[#This Row],[Food average]:[Miscelleneous and general index]])</f>
        <v>1372.897435897436</v>
      </c>
    </row>
    <row r="332" spans="1:12" hidden="1" x14ac:dyDescent="0.25">
      <c r="A332" t="s">
        <v>28</v>
      </c>
      <c r="B332">
        <v>2022</v>
      </c>
      <c r="C332" t="s">
        <v>35</v>
      </c>
      <c r="D332" s="1">
        <v>171.2923076923077</v>
      </c>
      <c r="E332">
        <v>192.9</v>
      </c>
      <c r="F332" s="1">
        <v>178.5</v>
      </c>
      <c r="G332" s="1">
        <v>170.43333333333337</v>
      </c>
      <c r="H332">
        <v>167.6</v>
      </c>
      <c r="I332">
        <v>171.8</v>
      </c>
      <c r="J332">
        <v>173.1</v>
      </c>
      <c r="K332" s="1">
        <v>171.7</v>
      </c>
      <c r="L332">
        <f>SUM(Table2[[#This Row],[Food average]:[Miscelleneous and general index]])</f>
        <v>1397.3256410256411</v>
      </c>
    </row>
    <row r="333" spans="1:12" hidden="1" x14ac:dyDescent="0.25">
      <c r="A333" t="s">
        <v>30</v>
      </c>
      <c r="B333">
        <v>2022</v>
      </c>
      <c r="C333" t="s">
        <v>35</v>
      </c>
      <c r="D333" s="1">
        <v>174.01538461538465</v>
      </c>
      <c r="E333">
        <v>197.5</v>
      </c>
      <c r="F333" s="1">
        <v>164.56666666666666</v>
      </c>
      <c r="G333" s="1">
        <v>165.375</v>
      </c>
      <c r="H333">
        <v>163.19999999999999</v>
      </c>
      <c r="I333">
        <v>165.2</v>
      </c>
      <c r="J333">
        <v>169.14999999999998</v>
      </c>
      <c r="K333" s="1">
        <v>167.3</v>
      </c>
      <c r="L333">
        <f>SUM(Table2[[#This Row],[Food average]:[Miscelleneous and general index]])</f>
        <v>1366.3070512820511</v>
      </c>
    </row>
    <row r="334" spans="1:12" hidden="1" x14ac:dyDescent="0.25">
      <c r="A334" t="s">
        <v>31</v>
      </c>
      <c r="B334">
        <v>2022</v>
      </c>
      <c r="C334" t="s">
        <v>35</v>
      </c>
      <c r="D334" s="1">
        <v>172.22307692307697</v>
      </c>
      <c r="E334">
        <v>194.1</v>
      </c>
      <c r="F334" s="1">
        <v>172.86666666666667</v>
      </c>
      <c r="G334" s="1">
        <v>167.57499999999999</v>
      </c>
      <c r="H334">
        <v>165.1</v>
      </c>
      <c r="I334">
        <v>167.9</v>
      </c>
      <c r="J334">
        <v>171.60000000000002</v>
      </c>
      <c r="K334" s="1">
        <v>169.6</v>
      </c>
      <c r="L334">
        <f>SUM(Table2[[#This Row],[Food average]:[Miscelleneous and general index]])</f>
        <v>1380.9647435897436</v>
      </c>
    </row>
    <row r="335" spans="1:12" hidden="1" x14ac:dyDescent="0.25">
      <c r="A335" t="s">
        <v>28</v>
      </c>
      <c r="B335">
        <v>2022</v>
      </c>
      <c r="C335" t="s">
        <v>36</v>
      </c>
      <c r="D335" s="1">
        <v>172.94615384615386</v>
      </c>
      <c r="E335">
        <v>192.9</v>
      </c>
      <c r="F335" s="1">
        <v>179.93333333333331</v>
      </c>
      <c r="G335" s="1">
        <v>170.83333333333334</v>
      </c>
      <c r="H335">
        <v>168</v>
      </c>
      <c r="I335">
        <v>172.6</v>
      </c>
      <c r="J335">
        <v>173.85</v>
      </c>
      <c r="K335" s="1">
        <v>172.3</v>
      </c>
      <c r="L335">
        <f>SUM(Table2[[#This Row],[Food average]:[Miscelleneous and general index]])</f>
        <v>1403.3628205128205</v>
      </c>
    </row>
    <row r="336" spans="1:12" hidden="1" x14ac:dyDescent="0.25">
      <c r="A336" t="s">
        <v>30</v>
      </c>
      <c r="B336">
        <v>2022</v>
      </c>
      <c r="C336" t="s">
        <v>36</v>
      </c>
      <c r="D336" s="1">
        <v>175.96153846153845</v>
      </c>
      <c r="E336">
        <v>198.3</v>
      </c>
      <c r="F336" s="1">
        <v>166.13333333333333</v>
      </c>
      <c r="G336" s="1">
        <v>165.25</v>
      </c>
      <c r="H336">
        <v>164.1</v>
      </c>
      <c r="I336">
        <v>166.5</v>
      </c>
      <c r="J336">
        <v>170.05</v>
      </c>
      <c r="K336" s="1">
        <v>167.60000000000002</v>
      </c>
      <c r="L336">
        <f>SUM(Table2[[#This Row],[Food average]:[Miscelleneous and general index]])</f>
        <v>1373.894871794872</v>
      </c>
    </row>
    <row r="337" spans="1:12" hidden="1" x14ac:dyDescent="0.25">
      <c r="A337" t="s">
        <v>31</v>
      </c>
      <c r="B337">
        <v>2022</v>
      </c>
      <c r="C337" t="s">
        <v>36</v>
      </c>
      <c r="D337" s="1">
        <v>173.99230769230769</v>
      </c>
      <c r="E337">
        <v>194.3</v>
      </c>
      <c r="F337" s="1">
        <v>174.33333333333334</v>
      </c>
      <c r="G337" s="1">
        <v>167.57500000000002</v>
      </c>
      <c r="H337">
        <v>165.8</v>
      </c>
      <c r="I337">
        <v>169</v>
      </c>
      <c r="J337">
        <v>172.4</v>
      </c>
      <c r="K337" s="1">
        <v>170.05</v>
      </c>
      <c r="L337">
        <f>SUM(Table2[[#This Row],[Food average]:[Miscelleneous and general index]])</f>
        <v>1387.4506410256411</v>
      </c>
    </row>
    <row r="338" spans="1:12" hidden="1" x14ac:dyDescent="0.25">
      <c r="A338" t="s">
        <v>28</v>
      </c>
      <c r="B338">
        <v>2022</v>
      </c>
      <c r="C338" t="s">
        <v>37</v>
      </c>
      <c r="D338" s="1">
        <v>173.26923076923077</v>
      </c>
      <c r="E338">
        <v>193.2</v>
      </c>
      <c r="F338" s="1">
        <v>181.33333333333334</v>
      </c>
      <c r="G338" s="1">
        <v>172.4</v>
      </c>
      <c r="H338">
        <v>168.6</v>
      </c>
      <c r="I338">
        <v>174.7</v>
      </c>
      <c r="J338">
        <v>174.25</v>
      </c>
      <c r="K338" s="1">
        <v>173.05</v>
      </c>
      <c r="L338">
        <f>SUM(Table2[[#This Row],[Food average]:[Miscelleneous and general index]])</f>
        <v>1410.802564102564</v>
      </c>
    </row>
    <row r="339" spans="1:12" hidden="1" x14ac:dyDescent="0.25">
      <c r="A339" t="s">
        <v>30</v>
      </c>
      <c r="B339">
        <v>2022</v>
      </c>
      <c r="C339" t="s">
        <v>37</v>
      </c>
      <c r="D339" s="1">
        <v>176.27692307692308</v>
      </c>
      <c r="E339">
        <v>198.6</v>
      </c>
      <c r="F339" s="1">
        <v>167.33333333333334</v>
      </c>
      <c r="G339" s="1">
        <v>166.95</v>
      </c>
      <c r="H339">
        <v>164.6</v>
      </c>
      <c r="I339">
        <v>169.1</v>
      </c>
      <c r="J339">
        <v>170.75</v>
      </c>
      <c r="K339" s="1">
        <v>168.5</v>
      </c>
      <c r="L339">
        <f>SUM(Table2[[#This Row],[Food average]:[Miscelleneous and general index]])</f>
        <v>1382.1102564102564</v>
      </c>
    </row>
    <row r="340" spans="1:12" hidden="1" x14ac:dyDescent="0.25">
      <c r="A340" t="s">
        <v>31</v>
      </c>
      <c r="B340">
        <v>2022</v>
      </c>
      <c r="C340" t="s">
        <v>37</v>
      </c>
      <c r="D340" s="1">
        <v>174.33076923076925</v>
      </c>
      <c r="E340">
        <v>194.6</v>
      </c>
      <c r="F340" s="1">
        <v>175.63333333333335</v>
      </c>
      <c r="G340" s="1">
        <v>169.1</v>
      </c>
      <c r="H340">
        <v>166.3</v>
      </c>
      <c r="I340">
        <v>171.4</v>
      </c>
      <c r="J340">
        <v>172.89999999999998</v>
      </c>
      <c r="K340" s="1">
        <v>170.9</v>
      </c>
      <c r="L340">
        <f>SUM(Table2[[#This Row],[Food average]:[Miscelleneous and general index]])</f>
        <v>1395.1641025641029</v>
      </c>
    </row>
    <row r="341" spans="1:12" hidden="1" x14ac:dyDescent="0.25">
      <c r="A341" t="s">
        <v>28</v>
      </c>
      <c r="B341">
        <v>2022</v>
      </c>
      <c r="C341" t="s">
        <v>38</v>
      </c>
      <c r="D341" s="1">
        <v>173.5230769230769</v>
      </c>
      <c r="E341">
        <v>193.7</v>
      </c>
      <c r="F341" s="1">
        <v>182.63333333333333</v>
      </c>
      <c r="G341" s="1">
        <v>172.66666666666666</v>
      </c>
      <c r="H341">
        <v>169.3</v>
      </c>
      <c r="I341">
        <v>175.7</v>
      </c>
      <c r="J341">
        <v>175.25</v>
      </c>
      <c r="K341" s="1">
        <v>173.95</v>
      </c>
      <c r="L341">
        <f>SUM(Table2[[#This Row],[Food average]:[Miscelleneous and general index]])</f>
        <v>1416.7230769230769</v>
      </c>
    </row>
    <row r="342" spans="1:12" hidden="1" x14ac:dyDescent="0.25">
      <c r="A342" t="s">
        <v>30</v>
      </c>
      <c r="B342">
        <v>2022</v>
      </c>
      <c r="C342" t="s">
        <v>38</v>
      </c>
      <c r="D342" s="1">
        <v>176.43846153846152</v>
      </c>
      <c r="E342">
        <v>198.7</v>
      </c>
      <c r="F342" s="1">
        <v>168.43333333333331</v>
      </c>
      <c r="G342" s="1">
        <v>167.32499999999999</v>
      </c>
      <c r="H342">
        <v>165.1</v>
      </c>
      <c r="I342">
        <v>169.9</v>
      </c>
      <c r="J342">
        <v>172</v>
      </c>
      <c r="K342" s="1">
        <v>169.25</v>
      </c>
      <c r="L342">
        <f>SUM(Table2[[#This Row],[Food average]:[Miscelleneous and general index]])</f>
        <v>1387.1467948717948</v>
      </c>
    </row>
    <row r="343" spans="1:12" hidden="1" x14ac:dyDescent="0.25">
      <c r="A343" t="s">
        <v>31</v>
      </c>
      <c r="B343">
        <v>2022</v>
      </c>
      <c r="C343" t="s">
        <v>38</v>
      </c>
      <c r="D343" s="1">
        <v>174.55384615384617</v>
      </c>
      <c r="E343">
        <v>195</v>
      </c>
      <c r="F343" s="1">
        <v>176.9</v>
      </c>
      <c r="G343" s="1">
        <v>169.54999999999998</v>
      </c>
      <c r="H343">
        <v>166.9</v>
      </c>
      <c r="I343">
        <v>172.3</v>
      </c>
      <c r="J343">
        <v>174</v>
      </c>
      <c r="K343" s="1">
        <v>171.7</v>
      </c>
      <c r="L343">
        <f>SUM(Table2[[#This Row],[Food average]:[Miscelleneous and general index]])</f>
        <v>1400.9038461538462</v>
      </c>
    </row>
    <row r="344" spans="1:12" hidden="1" x14ac:dyDescent="0.25">
      <c r="A344" t="s">
        <v>28</v>
      </c>
      <c r="B344">
        <v>2022</v>
      </c>
      <c r="C344" t="s">
        <v>39</v>
      </c>
      <c r="D344" s="1">
        <v>174.44615384615386</v>
      </c>
      <c r="E344">
        <v>194.5</v>
      </c>
      <c r="F344" s="1">
        <v>184.16666666666666</v>
      </c>
      <c r="G344" s="1">
        <v>173.39999999999998</v>
      </c>
      <c r="H344">
        <v>170</v>
      </c>
      <c r="I344">
        <v>176.2</v>
      </c>
      <c r="J344">
        <v>175.5</v>
      </c>
      <c r="K344" s="1">
        <v>174.75</v>
      </c>
      <c r="L344">
        <f>SUM(Table2[[#This Row],[Food average]:[Miscelleneous and general index]])</f>
        <v>1422.9628205128204</v>
      </c>
    </row>
    <row r="345" spans="1:12" hidden="1" x14ac:dyDescent="0.25">
      <c r="A345" t="s">
        <v>30</v>
      </c>
      <c r="B345">
        <v>2022</v>
      </c>
      <c r="C345" t="s">
        <v>39</v>
      </c>
      <c r="D345" s="1">
        <v>177.41538461538462</v>
      </c>
      <c r="E345">
        <v>199.7</v>
      </c>
      <c r="F345" s="1">
        <v>169.9</v>
      </c>
      <c r="G345" s="1">
        <v>167.97500000000002</v>
      </c>
      <c r="H345">
        <v>165.8</v>
      </c>
      <c r="I345">
        <v>170.9</v>
      </c>
      <c r="J345">
        <v>172.45</v>
      </c>
      <c r="K345" s="1">
        <v>170.1</v>
      </c>
      <c r="L345">
        <f>SUM(Table2[[#This Row],[Food average]:[Miscelleneous and general index]])</f>
        <v>1394.2403846153848</v>
      </c>
    </row>
    <row r="346" spans="1:12" hidden="1" x14ac:dyDescent="0.25">
      <c r="A346" t="s">
        <v>31</v>
      </c>
      <c r="B346">
        <v>2022</v>
      </c>
      <c r="C346" t="s">
        <v>39</v>
      </c>
      <c r="D346" s="1">
        <v>175.45384615384617</v>
      </c>
      <c r="E346">
        <v>195.9</v>
      </c>
      <c r="F346" s="1">
        <v>178.36666666666667</v>
      </c>
      <c r="G346" s="1">
        <v>170.2</v>
      </c>
      <c r="H346">
        <v>167.6</v>
      </c>
      <c r="I346">
        <v>173.1</v>
      </c>
      <c r="J346">
        <v>174.35000000000002</v>
      </c>
      <c r="K346" s="1">
        <v>172.5</v>
      </c>
      <c r="L346">
        <f>SUM(Table2[[#This Row],[Food average]:[Miscelleneous and general index]])</f>
        <v>1407.4705128205128</v>
      </c>
    </row>
    <row r="347" spans="1:12" hidden="1" x14ac:dyDescent="0.25">
      <c r="A347" t="s">
        <v>28</v>
      </c>
      <c r="B347">
        <v>2022</v>
      </c>
      <c r="C347" t="s">
        <v>40</v>
      </c>
      <c r="D347" s="1">
        <v>175.73076923076923</v>
      </c>
      <c r="E347">
        <v>194.9</v>
      </c>
      <c r="F347" s="1">
        <v>185.46666666666667</v>
      </c>
      <c r="G347" s="1">
        <v>174.20000000000002</v>
      </c>
      <c r="H347">
        <v>170.6</v>
      </c>
      <c r="I347">
        <v>176.5</v>
      </c>
      <c r="J347">
        <v>176.6</v>
      </c>
      <c r="K347" s="1">
        <v>175.9</v>
      </c>
      <c r="L347">
        <f>SUM(Table2[[#This Row],[Food average]:[Miscelleneous and general index]])</f>
        <v>1429.897435897436</v>
      </c>
    </row>
    <row r="348" spans="1:12" hidden="1" x14ac:dyDescent="0.25">
      <c r="A348" t="s">
        <v>30</v>
      </c>
      <c r="B348">
        <v>2022</v>
      </c>
      <c r="C348" t="s">
        <v>40</v>
      </c>
      <c r="D348" s="1">
        <v>178.63846153846154</v>
      </c>
      <c r="E348">
        <v>200.1</v>
      </c>
      <c r="F348" s="1">
        <v>170.56666666666669</v>
      </c>
      <c r="G348" s="1">
        <v>169</v>
      </c>
      <c r="H348">
        <v>166.3</v>
      </c>
      <c r="I348">
        <v>171.2</v>
      </c>
      <c r="J348">
        <v>173.5</v>
      </c>
      <c r="K348" s="1">
        <v>171.05</v>
      </c>
      <c r="L348">
        <f>SUM(Table2[[#This Row],[Food average]:[Miscelleneous and general index]])</f>
        <v>1400.3551282051283</v>
      </c>
    </row>
    <row r="349" spans="1:12" hidden="1" x14ac:dyDescent="0.25">
      <c r="A349" t="s">
        <v>31</v>
      </c>
      <c r="B349">
        <v>2022</v>
      </c>
      <c r="C349" t="s">
        <v>40</v>
      </c>
      <c r="D349" s="1">
        <v>176.71538461538464</v>
      </c>
      <c r="E349">
        <v>196.3</v>
      </c>
      <c r="F349" s="1">
        <v>179.4</v>
      </c>
      <c r="G349" s="1">
        <v>171.25</v>
      </c>
      <c r="H349">
        <v>168.2</v>
      </c>
      <c r="I349">
        <v>173.4</v>
      </c>
      <c r="J349">
        <v>175.39999999999998</v>
      </c>
      <c r="K349" s="1">
        <v>173.6</v>
      </c>
      <c r="L349">
        <f>SUM(Table2[[#This Row],[Food average]:[Miscelleneous and general index]])</f>
        <v>1414.2653846153844</v>
      </c>
    </row>
    <row r="350" spans="1:12" hidden="1" x14ac:dyDescent="0.25">
      <c r="A350" t="s">
        <v>28</v>
      </c>
      <c r="B350">
        <v>2022</v>
      </c>
      <c r="C350" t="s">
        <v>42</v>
      </c>
      <c r="D350" s="1">
        <v>175.97692307692307</v>
      </c>
      <c r="E350">
        <v>195.5</v>
      </c>
      <c r="F350" s="1">
        <v>186.43333333333331</v>
      </c>
      <c r="G350" s="1">
        <v>174.96666666666667</v>
      </c>
      <c r="H350">
        <v>170.8</v>
      </c>
      <c r="I350">
        <v>176.9</v>
      </c>
      <c r="J350">
        <v>177.85000000000002</v>
      </c>
      <c r="K350" s="1">
        <v>176.2</v>
      </c>
      <c r="L350">
        <f>SUM(Table2[[#This Row],[Food average]:[Miscelleneous and general index]])</f>
        <v>1434.6269230769233</v>
      </c>
    </row>
    <row r="351" spans="1:12" hidden="1" x14ac:dyDescent="0.25">
      <c r="A351" t="s">
        <v>30</v>
      </c>
      <c r="B351">
        <v>2022</v>
      </c>
      <c r="C351" t="s">
        <v>42</v>
      </c>
      <c r="D351" s="1">
        <v>178.03076923076924</v>
      </c>
      <c r="E351">
        <v>200.6</v>
      </c>
      <c r="F351" s="1">
        <v>171.63333333333333</v>
      </c>
      <c r="G351" s="1">
        <v>169.47499999999999</v>
      </c>
      <c r="H351">
        <v>166.7</v>
      </c>
      <c r="I351">
        <v>171.5</v>
      </c>
      <c r="J351">
        <v>174.8</v>
      </c>
      <c r="K351" s="1">
        <v>170.75</v>
      </c>
      <c r="L351">
        <f>SUM(Table2[[#This Row],[Food average]:[Miscelleneous and general index]])</f>
        <v>1403.4891025641025</v>
      </c>
    </row>
    <row r="352" spans="1:12" hidden="1" x14ac:dyDescent="0.25">
      <c r="A352" t="s">
        <v>31</v>
      </c>
      <c r="B352">
        <v>2022</v>
      </c>
      <c r="C352" t="s">
        <v>42</v>
      </c>
      <c r="D352" s="1">
        <v>176.67692307692309</v>
      </c>
      <c r="E352">
        <v>196.9</v>
      </c>
      <c r="F352" s="1">
        <v>180.46666666666667</v>
      </c>
      <c r="G352" s="1">
        <v>171.875</v>
      </c>
      <c r="H352">
        <v>168.5</v>
      </c>
      <c r="I352">
        <v>173.7</v>
      </c>
      <c r="J352">
        <v>176.7</v>
      </c>
      <c r="K352" s="1">
        <v>173.8</v>
      </c>
      <c r="L352">
        <f>SUM(Table2[[#This Row],[Food average]:[Miscelleneous and general index]])</f>
        <v>1418.6185897435898</v>
      </c>
    </row>
    <row r="353" spans="1:12" hidden="1" x14ac:dyDescent="0.25">
      <c r="A353" t="s">
        <v>28</v>
      </c>
      <c r="B353">
        <v>2022</v>
      </c>
      <c r="C353" t="s">
        <v>43</v>
      </c>
      <c r="D353" s="1">
        <v>175.16153846153844</v>
      </c>
      <c r="E353">
        <v>195.9</v>
      </c>
      <c r="F353" s="1">
        <v>187.26666666666665</v>
      </c>
      <c r="G353" s="1">
        <v>175.66666666666666</v>
      </c>
      <c r="H353">
        <v>171.2</v>
      </c>
      <c r="I353">
        <v>177.3</v>
      </c>
      <c r="J353">
        <v>179.6</v>
      </c>
      <c r="K353" s="1">
        <v>176.3</v>
      </c>
      <c r="L353">
        <f>SUM(Table2[[#This Row],[Food average]:[Miscelleneous and general index]])</f>
        <v>1438.3948717948715</v>
      </c>
    </row>
    <row r="354" spans="1:12" hidden="1" x14ac:dyDescent="0.25">
      <c r="A354" t="s">
        <v>30</v>
      </c>
      <c r="B354">
        <v>2022</v>
      </c>
      <c r="C354" t="s">
        <v>43</v>
      </c>
      <c r="D354" s="1">
        <v>176.59999999999997</v>
      </c>
      <c r="E354">
        <v>201.1</v>
      </c>
      <c r="F354" s="1">
        <v>172.63333333333333</v>
      </c>
      <c r="G354" s="1">
        <v>169.49999999999997</v>
      </c>
      <c r="H354">
        <v>167.1</v>
      </c>
      <c r="I354">
        <v>171.8</v>
      </c>
      <c r="J354">
        <v>176.6</v>
      </c>
      <c r="K354" s="1">
        <v>171.14999999999998</v>
      </c>
      <c r="L354">
        <f>SUM(Table2[[#This Row],[Food average]:[Miscelleneous and general index]])</f>
        <v>1406.4833333333331</v>
      </c>
    </row>
    <row r="355" spans="1:12" hidden="1" x14ac:dyDescent="0.25">
      <c r="A355" t="s">
        <v>31</v>
      </c>
      <c r="B355">
        <v>2022</v>
      </c>
      <c r="C355" t="s">
        <v>43</v>
      </c>
      <c r="D355" s="1">
        <v>175.64615384615385</v>
      </c>
      <c r="E355">
        <v>197.3</v>
      </c>
      <c r="F355" s="1">
        <v>181.33333333333334</v>
      </c>
      <c r="G355" s="1">
        <v>172.04999999999998</v>
      </c>
      <c r="H355">
        <v>168.9</v>
      </c>
      <c r="I355">
        <v>174.1</v>
      </c>
      <c r="J355">
        <v>178.45</v>
      </c>
      <c r="K355" s="1">
        <v>173.85</v>
      </c>
      <c r="L355">
        <f>SUM(Table2[[#This Row],[Food average]:[Miscelleneous and general index]])</f>
        <v>1421.6294871794871</v>
      </c>
    </row>
    <row r="356" spans="1:12" hidden="1" x14ac:dyDescent="0.25">
      <c r="A356" t="s">
        <v>28</v>
      </c>
      <c r="B356">
        <v>2023</v>
      </c>
      <c r="C356" t="s">
        <v>29</v>
      </c>
      <c r="D356" s="1">
        <v>175.63076923076926</v>
      </c>
      <c r="E356">
        <v>196.9</v>
      </c>
      <c r="F356" s="1">
        <v>187.96666666666667</v>
      </c>
      <c r="G356" s="1">
        <v>176.19999999999996</v>
      </c>
      <c r="H356">
        <v>171.8</v>
      </c>
      <c r="I356">
        <v>177.8</v>
      </c>
      <c r="J356">
        <v>181.55</v>
      </c>
      <c r="K356" s="1">
        <v>177.15</v>
      </c>
      <c r="L356">
        <f>SUM(Table2[[#This Row],[Food average]:[Miscelleneous and general index]])</f>
        <v>1444.9974358974359</v>
      </c>
    </row>
    <row r="357" spans="1:12" hidden="1" x14ac:dyDescent="0.25">
      <c r="A357" t="s">
        <v>30</v>
      </c>
      <c r="B357">
        <v>2023</v>
      </c>
      <c r="C357" t="s">
        <v>29</v>
      </c>
      <c r="D357" s="1">
        <v>177.70769230769233</v>
      </c>
      <c r="E357">
        <v>201.6</v>
      </c>
      <c r="F357" s="1">
        <v>173.53333333333333</v>
      </c>
      <c r="G357" s="1">
        <v>169.92500000000001</v>
      </c>
      <c r="H357">
        <v>167.8</v>
      </c>
      <c r="I357">
        <v>171.8</v>
      </c>
      <c r="J357">
        <v>178.65</v>
      </c>
      <c r="K357" s="1">
        <v>171.9</v>
      </c>
      <c r="L357">
        <f>SUM(Table2[[#This Row],[Food average]:[Miscelleneous and general index]])</f>
        <v>1412.9160256410257</v>
      </c>
    </row>
    <row r="358" spans="1:12" hidden="1" x14ac:dyDescent="0.25">
      <c r="A358" t="s">
        <v>31</v>
      </c>
      <c r="B358">
        <v>2023</v>
      </c>
      <c r="C358" t="s">
        <v>29</v>
      </c>
      <c r="D358" s="1">
        <v>176.36153846153846</v>
      </c>
      <c r="E358">
        <v>198.2</v>
      </c>
      <c r="F358" s="1">
        <v>182.1</v>
      </c>
      <c r="G358" s="1">
        <v>172.65</v>
      </c>
      <c r="H358">
        <v>169.5</v>
      </c>
      <c r="I358">
        <v>174.3</v>
      </c>
      <c r="J358">
        <v>180.45</v>
      </c>
      <c r="K358" s="1">
        <v>174.65</v>
      </c>
      <c r="L358">
        <f>SUM(Table2[[#This Row],[Food average]:[Miscelleneous and general index]])</f>
        <v>1428.2115384615386</v>
      </c>
    </row>
    <row r="359" spans="1:12" hidden="1" x14ac:dyDescent="0.25">
      <c r="A359" t="s">
        <v>28</v>
      </c>
      <c r="B359">
        <v>2023</v>
      </c>
      <c r="C359" t="s">
        <v>32</v>
      </c>
      <c r="D359" s="1">
        <v>174.28461538461536</v>
      </c>
      <c r="E359">
        <v>198.3</v>
      </c>
      <c r="F359" s="1">
        <v>188.86666666666667</v>
      </c>
      <c r="G359" s="1">
        <v>176.4</v>
      </c>
      <c r="H359">
        <v>172.8</v>
      </c>
      <c r="I359">
        <v>178.5</v>
      </c>
      <c r="J359">
        <v>183.64999999999998</v>
      </c>
      <c r="K359" s="1">
        <v>177.95</v>
      </c>
      <c r="L359">
        <f>SUM(Table2[[#This Row],[Food average]:[Miscelleneous and general index]])</f>
        <v>1450.7512820512823</v>
      </c>
    </row>
    <row r="360" spans="1:12" hidden="1" x14ac:dyDescent="0.25">
      <c r="A360" t="s">
        <v>30</v>
      </c>
      <c r="B360">
        <v>2023</v>
      </c>
      <c r="C360" t="s">
        <v>32</v>
      </c>
      <c r="D360" s="1">
        <v>177.16923076923075</v>
      </c>
      <c r="E360">
        <v>202.7</v>
      </c>
      <c r="F360" s="1">
        <v>175.16666666666666</v>
      </c>
      <c r="G360" s="1">
        <v>171.32499999999999</v>
      </c>
      <c r="H360">
        <v>168.4</v>
      </c>
      <c r="I360">
        <v>172.5</v>
      </c>
      <c r="J360">
        <v>181.10000000000002</v>
      </c>
      <c r="K360" s="1">
        <v>173.15</v>
      </c>
      <c r="L360">
        <f>SUM(Table2[[#This Row],[Food average]:[Miscelleneous and general index]])</f>
        <v>1421.5108974358973</v>
      </c>
    </row>
    <row r="361" spans="1:12" hidden="1" x14ac:dyDescent="0.25">
      <c r="A361" t="s">
        <v>31</v>
      </c>
      <c r="B361">
        <v>2023</v>
      </c>
      <c r="C361" t="s">
        <v>32</v>
      </c>
      <c r="D361" s="1">
        <v>175.3153846153846</v>
      </c>
      <c r="E361">
        <v>199.5</v>
      </c>
      <c r="F361" s="1">
        <v>183.33333333333334</v>
      </c>
      <c r="G361" s="1">
        <v>173.5</v>
      </c>
      <c r="H361">
        <v>170.3</v>
      </c>
      <c r="I361">
        <v>175</v>
      </c>
      <c r="J361">
        <v>182.7</v>
      </c>
      <c r="K361" s="1">
        <v>175.64999999999998</v>
      </c>
      <c r="L361">
        <f>SUM(Table2[[#This Row],[Food average]:[Miscelleneous and general index]])</f>
        <v>1435.2987179487181</v>
      </c>
    </row>
    <row r="362" spans="1:12" hidden="1" x14ac:dyDescent="0.25">
      <c r="A362" t="s">
        <v>28</v>
      </c>
      <c r="B362">
        <v>2023</v>
      </c>
      <c r="C362" t="s">
        <v>33</v>
      </c>
      <c r="D362" s="1">
        <v>174.2923076923077</v>
      </c>
      <c r="E362">
        <v>198.4</v>
      </c>
      <c r="F362" s="1">
        <v>188.86666666666667</v>
      </c>
      <c r="G362" s="1">
        <v>176.33333333333334</v>
      </c>
      <c r="H362">
        <v>172.8</v>
      </c>
      <c r="I362">
        <v>178.5</v>
      </c>
      <c r="J362">
        <v>183.64999999999998</v>
      </c>
      <c r="K362" s="1">
        <v>177.95</v>
      </c>
      <c r="L362">
        <f>SUM(Table2[[#This Row],[Food average]:[Miscelleneous and general index]])</f>
        <v>1450.7923076923078</v>
      </c>
    </row>
    <row r="363" spans="1:12" hidden="1" x14ac:dyDescent="0.25">
      <c r="A363" t="s">
        <v>30</v>
      </c>
      <c r="B363">
        <v>2023</v>
      </c>
      <c r="C363" t="s">
        <v>33</v>
      </c>
      <c r="D363" s="1">
        <v>177.1846153846154</v>
      </c>
      <c r="E363">
        <v>202.7</v>
      </c>
      <c r="F363" s="1">
        <v>175.13333333333333</v>
      </c>
      <c r="G363" s="1">
        <v>171.27499999999998</v>
      </c>
      <c r="H363">
        <v>168.4</v>
      </c>
      <c r="I363">
        <v>172.5</v>
      </c>
      <c r="J363">
        <v>181.15</v>
      </c>
      <c r="K363" s="1">
        <v>173.15</v>
      </c>
      <c r="L363">
        <f>SUM(Table2[[#This Row],[Food average]:[Miscelleneous and general index]])</f>
        <v>1421.4929487179488</v>
      </c>
    </row>
    <row r="364" spans="1:12" hidden="1" x14ac:dyDescent="0.25">
      <c r="A364" t="s">
        <v>31</v>
      </c>
      <c r="B364">
        <v>2023</v>
      </c>
      <c r="C364" t="s">
        <v>33</v>
      </c>
      <c r="D364" s="1">
        <v>175.32307692307691</v>
      </c>
      <c r="E364">
        <v>199.5</v>
      </c>
      <c r="F364" s="1">
        <v>183.29999999999998</v>
      </c>
      <c r="G364" s="1">
        <v>173.45</v>
      </c>
      <c r="H364">
        <v>170.3</v>
      </c>
      <c r="I364">
        <v>175</v>
      </c>
      <c r="J364">
        <v>182.7</v>
      </c>
      <c r="K364" s="1">
        <v>175.64999999999998</v>
      </c>
      <c r="L364">
        <f>SUM(Table2[[#This Row],[Food average]:[Miscelleneous and general index]])</f>
        <v>1435.2230769230769</v>
      </c>
    </row>
    <row r="365" spans="1:12" hidden="1" x14ac:dyDescent="0.25">
      <c r="A365" t="s">
        <v>28</v>
      </c>
      <c r="B365">
        <v>2023</v>
      </c>
      <c r="C365" t="s">
        <v>34</v>
      </c>
      <c r="D365" s="1">
        <v>174.93846153846152</v>
      </c>
      <c r="E365">
        <v>199.5</v>
      </c>
      <c r="F365" s="1">
        <v>189.4</v>
      </c>
      <c r="G365" s="1">
        <v>176.66666666666666</v>
      </c>
      <c r="H365">
        <v>173.2</v>
      </c>
      <c r="I365">
        <v>179.4</v>
      </c>
      <c r="J365">
        <v>185.5</v>
      </c>
      <c r="K365" s="1">
        <v>178.85000000000002</v>
      </c>
      <c r="L365">
        <f>SUM(Table2[[#This Row],[Food average]:[Miscelleneous and general index]])</f>
        <v>1457.4551282051284</v>
      </c>
    </row>
    <row r="366" spans="1:12" hidden="1" x14ac:dyDescent="0.25">
      <c r="A366" t="s">
        <v>30</v>
      </c>
      <c r="B366">
        <v>2023</v>
      </c>
      <c r="C366" t="s">
        <v>34</v>
      </c>
      <c r="D366" s="1">
        <v>178.28461538461539</v>
      </c>
      <c r="E366">
        <v>203.5</v>
      </c>
      <c r="F366" s="1">
        <v>175.86666666666667</v>
      </c>
      <c r="G366" s="1">
        <v>171.75</v>
      </c>
      <c r="H366">
        <v>168.8</v>
      </c>
      <c r="I366">
        <v>174.2</v>
      </c>
      <c r="J366">
        <v>182.95</v>
      </c>
      <c r="K366" s="1">
        <v>174.15</v>
      </c>
      <c r="L366">
        <f>SUM(Table2[[#This Row],[Food average]:[Miscelleneous and general index]])</f>
        <v>1429.5012820512823</v>
      </c>
    </row>
    <row r="367" spans="1:12" hidden="1" x14ac:dyDescent="0.25">
      <c r="A367" t="s">
        <v>31</v>
      </c>
      <c r="B367">
        <v>2023</v>
      </c>
      <c r="C367" t="s">
        <v>34</v>
      </c>
      <c r="D367" s="1">
        <v>176.12307692307695</v>
      </c>
      <c r="E367">
        <v>200.6</v>
      </c>
      <c r="F367" s="1">
        <v>183.93333333333331</v>
      </c>
      <c r="G367" s="1">
        <v>174</v>
      </c>
      <c r="H367">
        <v>170.7</v>
      </c>
      <c r="I367">
        <v>176.4</v>
      </c>
      <c r="J367">
        <v>184.5</v>
      </c>
      <c r="K367" s="1">
        <v>176.55</v>
      </c>
      <c r="L367">
        <f>SUM(Table2[[#This Row],[Food average]:[Miscelleneous and general index]])</f>
        <v>1442.8064102564103</v>
      </c>
    </row>
    <row r="368" spans="1:12" hidden="1" x14ac:dyDescent="0.25">
      <c r="A368" t="s">
        <v>28</v>
      </c>
      <c r="B368">
        <v>2023</v>
      </c>
      <c r="C368" t="s">
        <v>35</v>
      </c>
      <c r="D368" s="1">
        <v>176.20769230769235</v>
      </c>
      <c r="E368">
        <v>199.9</v>
      </c>
      <c r="F368" s="1">
        <v>189.9666666666667</v>
      </c>
      <c r="G368" s="1">
        <v>177.33333333333334</v>
      </c>
      <c r="H368">
        <v>173.8</v>
      </c>
      <c r="I368">
        <v>180.3</v>
      </c>
      <c r="J368">
        <v>186.35000000000002</v>
      </c>
      <c r="K368" s="1">
        <v>179.65</v>
      </c>
      <c r="L368">
        <f>SUM(Table2[[#This Row],[Food average]:[Miscelleneous and general index]])</f>
        <v>1463.5076923076927</v>
      </c>
    </row>
    <row r="369" spans="1:12" hidden="1" x14ac:dyDescent="0.25">
      <c r="A369" t="s">
        <v>30</v>
      </c>
      <c r="B369">
        <v>2023</v>
      </c>
      <c r="C369" t="s">
        <v>35</v>
      </c>
      <c r="D369" s="1">
        <v>179.62307692307692</v>
      </c>
      <c r="E369">
        <v>204.2</v>
      </c>
      <c r="F369" s="1">
        <v>176.23333333333335</v>
      </c>
      <c r="G369" s="1">
        <v>172.375</v>
      </c>
      <c r="H369">
        <v>169.2</v>
      </c>
      <c r="I369">
        <v>174.8</v>
      </c>
      <c r="J369">
        <v>183.89999999999998</v>
      </c>
      <c r="K369" s="1">
        <v>174.89999999999998</v>
      </c>
      <c r="L369">
        <f>SUM(Table2[[#This Row],[Food average]:[Miscelleneous and general index]])</f>
        <v>1435.2314102564101</v>
      </c>
    </row>
    <row r="370" spans="1:12" hidden="1" x14ac:dyDescent="0.25">
      <c r="A370" t="s">
        <v>31</v>
      </c>
      <c r="B370">
        <v>2023</v>
      </c>
      <c r="C370" t="s">
        <v>35</v>
      </c>
      <c r="D370" s="1">
        <v>177.45384615384617</v>
      </c>
      <c r="E370">
        <v>201</v>
      </c>
      <c r="F370" s="1">
        <v>184.4</v>
      </c>
      <c r="G370" s="1">
        <v>174.59999999999997</v>
      </c>
      <c r="H370">
        <v>171.2</v>
      </c>
      <c r="I370">
        <v>177.1</v>
      </c>
      <c r="J370">
        <v>185.45</v>
      </c>
      <c r="K370" s="1">
        <v>177.39999999999998</v>
      </c>
      <c r="L370">
        <f>SUM(Table2[[#This Row],[Food average]:[Miscelleneous and general index]])</f>
        <v>1448.603846153846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D23F-255C-476C-923F-70DE26FCF3F8}">
  <dimension ref="A1:L35"/>
  <sheetViews>
    <sheetView workbookViewId="0">
      <selection activeCell="J12" sqref="J12"/>
    </sheetView>
  </sheetViews>
  <sheetFormatPr defaultRowHeight="15" x14ac:dyDescent="0.25"/>
  <cols>
    <col min="4" max="4" width="15" style="1" customWidth="1"/>
    <col min="5" max="5" width="28.140625" customWidth="1"/>
    <col min="6" max="6" width="11" style="1" customWidth="1"/>
    <col min="7" max="7" width="18.5703125" style="1" customWidth="1"/>
    <col min="8" max="8" width="27.42578125" customWidth="1"/>
    <col min="9" max="9" width="11.85546875" customWidth="1"/>
    <col min="10" max="10" width="26.140625" style="1" customWidth="1"/>
    <col min="11" max="11" width="32.42578125" style="1" customWidth="1"/>
    <col min="12" max="12" width="9.140625" style="1"/>
  </cols>
  <sheetData>
    <row r="1" spans="1:12" x14ac:dyDescent="0.25">
      <c r="A1" t="s">
        <v>0</v>
      </c>
      <c r="B1" t="s">
        <v>1</v>
      </c>
      <c r="C1" t="s">
        <v>2</v>
      </c>
      <c r="D1" s="1" t="s">
        <v>47</v>
      </c>
      <c r="E1" t="s">
        <v>15</v>
      </c>
      <c r="F1" s="1" t="s">
        <v>48</v>
      </c>
      <c r="G1" s="1" t="s">
        <v>51</v>
      </c>
      <c r="H1" t="s">
        <v>24</v>
      </c>
      <c r="I1" t="s">
        <v>25</v>
      </c>
      <c r="J1" s="1" t="s">
        <v>49</v>
      </c>
      <c r="K1" s="1" t="s">
        <v>50</v>
      </c>
      <c r="L1" s="1" t="s">
        <v>52</v>
      </c>
    </row>
    <row r="2" spans="1:12" x14ac:dyDescent="0.25">
      <c r="A2" t="s">
        <v>28</v>
      </c>
      <c r="B2">
        <v>2023</v>
      </c>
      <c r="C2" t="s">
        <v>35</v>
      </c>
      <c r="D2" s="1">
        <v>176.20769230769235</v>
      </c>
      <c r="E2">
        <v>199.9</v>
      </c>
      <c r="F2" s="1">
        <v>189.9666666666667</v>
      </c>
      <c r="G2" s="1">
        <v>177.33333333333334</v>
      </c>
      <c r="H2">
        <v>173.8</v>
      </c>
      <c r="I2">
        <v>180.3</v>
      </c>
      <c r="J2" s="1">
        <v>186.35000000000002</v>
      </c>
      <c r="K2" s="1">
        <v>179.65</v>
      </c>
      <c r="L2" s="1">
        <f>SUM(D2:K2)</f>
        <v>1463.5076923076927</v>
      </c>
    </row>
    <row r="3" spans="1:12" x14ac:dyDescent="0.25">
      <c r="A3" t="s">
        <v>30</v>
      </c>
      <c r="B3">
        <v>2023</v>
      </c>
      <c r="C3" t="s">
        <v>35</v>
      </c>
      <c r="D3" s="1">
        <v>179.62307692307692</v>
      </c>
      <c r="E3">
        <v>204.2</v>
      </c>
      <c r="F3" s="1">
        <v>176.23333333333335</v>
      </c>
      <c r="G3" s="1">
        <v>172.375</v>
      </c>
      <c r="H3">
        <v>169.2</v>
      </c>
      <c r="I3">
        <v>174.8</v>
      </c>
      <c r="J3" s="1">
        <v>183.89999999999998</v>
      </c>
      <c r="K3" s="1">
        <v>174.89999999999998</v>
      </c>
      <c r="L3" s="1">
        <f t="shared" ref="L3:L4" si="0">SUM(D3:K3)</f>
        <v>1435.2314102564101</v>
      </c>
    </row>
    <row r="4" spans="1:12" x14ac:dyDescent="0.25">
      <c r="A4" t="s">
        <v>31</v>
      </c>
      <c r="B4">
        <v>2023</v>
      </c>
      <c r="C4" t="s">
        <v>35</v>
      </c>
      <c r="D4" s="1">
        <v>177.45384615384617</v>
      </c>
      <c r="E4">
        <v>201</v>
      </c>
      <c r="F4" s="1">
        <v>184.4</v>
      </c>
      <c r="G4" s="1">
        <v>174.59999999999997</v>
      </c>
      <c r="H4">
        <v>171.2</v>
      </c>
      <c r="I4">
        <v>177.1</v>
      </c>
      <c r="J4" s="1">
        <v>185.45</v>
      </c>
      <c r="K4" s="1">
        <v>177.39999999999998</v>
      </c>
      <c r="L4" s="1">
        <f t="shared" si="0"/>
        <v>1448.603846153846</v>
      </c>
    </row>
    <row r="6" spans="1:12" x14ac:dyDescent="0.25">
      <c r="B6" t="s">
        <v>53</v>
      </c>
    </row>
    <row r="7" spans="1:12" ht="15.75" thickBot="1" x14ac:dyDescent="0.3"/>
    <row r="8" spans="1:12" ht="15.75" thickBot="1" x14ac:dyDescent="0.3">
      <c r="B8" s="10" t="s">
        <v>54</v>
      </c>
      <c r="C8" s="11"/>
      <c r="D8" s="12"/>
      <c r="E8" s="10" t="s">
        <v>28</v>
      </c>
      <c r="F8" s="13" t="s">
        <v>30</v>
      </c>
      <c r="G8" s="13" t="s">
        <v>55</v>
      </c>
    </row>
    <row r="9" spans="1:12" ht="15.75" thickBot="1" x14ac:dyDescent="0.3">
      <c r="B9" s="14" t="s">
        <v>56</v>
      </c>
      <c r="C9" s="15"/>
      <c r="D9" s="16"/>
      <c r="E9" s="5">
        <v>176.2</v>
      </c>
      <c r="F9" s="6">
        <v>179.6</v>
      </c>
      <c r="G9" s="6">
        <v>177.5</v>
      </c>
    </row>
    <row r="10" spans="1:12" ht="15.75" thickBot="1" x14ac:dyDescent="0.3">
      <c r="B10" s="17" t="s">
        <v>57</v>
      </c>
      <c r="C10" s="17"/>
      <c r="D10" s="18"/>
      <c r="E10" s="5">
        <v>199.9</v>
      </c>
      <c r="F10" s="6">
        <v>204.2</v>
      </c>
      <c r="G10" s="6">
        <v>201</v>
      </c>
    </row>
    <row r="11" spans="1:12" ht="15.75" thickBot="1" x14ac:dyDescent="0.3">
      <c r="B11" s="14" t="s">
        <v>48</v>
      </c>
      <c r="C11" s="15"/>
      <c r="D11" s="16"/>
      <c r="E11" s="5">
        <v>190</v>
      </c>
      <c r="F11" s="6">
        <v>176.2</v>
      </c>
      <c r="G11" s="6">
        <v>184.4</v>
      </c>
    </row>
    <row r="12" spans="1:12" ht="15.75" thickBot="1" x14ac:dyDescent="0.3">
      <c r="B12" s="17" t="s">
        <v>51</v>
      </c>
      <c r="C12" s="14"/>
      <c r="D12" s="16"/>
      <c r="E12" s="5">
        <v>177.3</v>
      </c>
      <c r="F12" s="6">
        <v>172.4</v>
      </c>
      <c r="G12" s="6">
        <v>174.6</v>
      </c>
    </row>
    <row r="13" spans="1:12" ht="15.75" thickBot="1" x14ac:dyDescent="0.3">
      <c r="B13" s="17" t="s">
        <v>24</v>
      </c>
      <c r="C13" s="17"/>
      <c r="D13" s="18"/>
      <c r="E13" s="5">
        <v>173.8</v>
      </c>
      <c r="F13" s="6">
        <v>169.2</v>
      </c>
      <c r="G13" s="6">
        <v>171.2</v>
      </c>
    </row>
    <row r="14" spans="1:12" ht="15.75" thickBot="1" x14ac:dyDescent="0.3">
      <c r="B14" s="14" t="s">
        <v>25</v>
      </c>
      <c r="C14" s="15"/>
      <c r="D14" s="16"/>
      <c r="E14" s="5">
        <v>180.3</v>
      </c>
      <c r="F14" s="6">
        <v>174.8</v>
      </c>
      <c r="G14" s="6">
        <v>177.1</v>
      </c>
    </row>
    <row r="15" spans="1:12" ht="15.75" thickBot="1" x14ac:dyDescent="0.3">
      <c r="B15" s="17" t="s">
        <v>49</v>
      </c>
      <c r="C15" s="17"/>
      <c r="D15" s="18"/>
      <c r="E15" s="5">
        <v>186.4</v>
      </c>
      <c r="F15" s="6">
        <v>183.9</v>
      </c>
      <c r="G15" s="6">
        <v>185.5</v>
      </c>
    </row>
    <row r="16" spans="1:12" ht="15.75" thickBot="1" x14ac:dyDescent="0.3">
      <c r="B16" s="17" t="s">
        <v>50</v>
      </c>
      <c r="C16" s="17"/>
      <c r="D16" s="18"/>
      <c r="E16" s="5">
        <v>179.7</v>
      </c>
      <c r="F16" s="6">
        <v>174.9</v>
      </c>
      <c r="G16" s="6">
        <v>177.4</v>
      </c>
    </row>
    <row r="17" spans="2:12" ht="15.75" thickBot="1" x14ac:dyDescent="0.3">
      <c r="B17" s="7" t="s">
        <v>52</v>
      </c>
      <c r="C17" s="9"/>
      <c r="D17" s="8"/>
      <c r="E17" s="5">
        <v>1463.5</v>
      </c>
      <c r="F17" s="6">
        <v>1435.2</v>
      </c>
      <c r="G17" s="6">
        <v>1448.6</v>
      </c>
    </row>
    <row r="19" spans="2:12" x14ac:dyDescent="0.25">
      <c r="B19" s="19" t="s">
        <v>58</v>
      </c>
    </row>
    <row r="20" spans="2:12" ht="15.75" thickBot="1" x14ac:dyDescent="0.3"/>
    <row r="21" spans="2:12" x14ac:dyDescent="0.25">
      <c r="B21" s="27" t="s">
        <v>54</v>
      </c>
      <c r="C21" s="28"/>
      <c r="D21" s="29"/>
      <c r="E21" s="28" t="s">
        <v>28</v>
      </c>
      <c r="F21" s="29" t="s">
        <v>30</v>
      </c>
      <c r="G21" s="30" t="s">
        <v>31</v>
      </c>
    </row>
    <row r="22" spans="2:12" x14ac:dyDescent="0.25">
      <c r="B22" s="31" t="s">
        <v>56</v>
      </c>
      <c r="C22" s="23"/>
      <c r="D22" s="22"/>
      <c r="E22" s="20">
        <f>E9/E$17</f>
        <v>0.12039631021523743</v>
      </c>
      <c r="F22" s="20">
        <f>F9/F$17</f>
        <v>0.12513935340022295</v>
      </c>
      <c r="G22" s="32">
        <f>G9/G$17</f>
        <v>0.12253209995858071</v>
      </c>
      <c r="H22" s="1"/>
      <c r="I22" s="1"/>
      <c r="K22"/>
      <c r="L22"/>
    </row>
    <row r="23" spans="2:12" x14ac:dyDescent="0.25">
      <c r="B23" s="33" t="s">
        <v>57</v>
      </c>
      <c r="C23" s="24"/>
      <c r="D23" s="25"/>
      <c r="E23" s="26">
        <f t="shared" ref="E23:G29" si="1">E10/E$17</f>
        <v>0.13659036556200888</v>
      </c>
      <c r="F23" s="26">
        <f t="shared" si="1"/>
        <v>0.14227982162764771</v>
      </c>
      <c r="G23" s="34">
        <f t="shared" si="1"/>
        <v>0.13875465967140688</v>
      </c>
      <c r="H23" s="1"/>
      <c r="I23" s="1"/>
      <c r="K23"/>
      <c r="L23"/>
    </row>
    <row r="24" spans="2:12" x14ac:dyDescent="0.25">
      <c r="B24" s="31" t="s">
        <v>48</v>
      </c>
      <c r="C24" s="23"/>
      <c r="D24" s="22"/>
      <c r="E24" s="20">
        <f t="shared" si="1"/>
        <v>0.12982576016399044</v>
      </c>
      <c r="F24" s="20">
        <f t="shared" si="1"/>
        <v>0.12277034559643255</v>
      </c>
      <c r="G24" s="32">
        <f t="shared" si="1"/>
        <v>0.12729531961894244</v>
      </c>
      <c r="H24" s="1"/>
      <c r="I24" s="1"/>
      <c r="K24"/>
      <c r="L24"/>
    </row>
    <row r="25" spans="2:12" x14ac:dyDescent="0.25">
      <c r="B25" s="4" t="s">
        <v>51</v>
      </c>
      <c r="C25" s="21"/>
      <c r="D25" s="22"/>
      <c r="E25" s="20">
        <f t="shared" si="1"/>
        <v>0.1211479330372395</v>
      </c>
      <c r="F25" s="20">
        <f t="shared" si="1"/>
        <v>0.12012263099219621</v>
      </c>
      <c r="G25" s="32">
        <f t="shared" si="1"/>
        <v>0.12053016705784896</v>
      </c>
      <c r="H25" s="1"/>
      <c r="I25" s="1"/>
      <c r="K25"/>
      <c r="L25"/>
    </row>
    <row r="26" spans="2:12" x14ac:dyDescent="0.25">
      <c r="B26" s="4" t="s">
        <v>24</v>
      </c>
      <c r="C26" s="2"/>
      <c r="D26" s="3"/>
      <c r="E26" s="20">
        <f t="shared" si="1"/>
        <v>0.11875640587632388</v>
      </c>
      <c r="F26" s="20">
        <f t="shared" si="1"/>
        <v>0.11789297658862875</v>
      </c>
      <c r="G26" s="32">
        <f t="shared" si="1"/>
        <v>0.11818307331216346</v>
      </c>
      <c r="H26" s="1"/>
      <c r="I26" s="1"/>
      <c r="K26"/>
      <c r="L26"/>
    </row>
    <row r="27" spans="2:12" x14ac:dyDescent="0.25">
      <c r="B27" s="31" t="s">
        <v>25</v>
      </c>
      <c r="C27" s="23"/>
      <c r="D27" s="22"/>
      <c r="E27" s="20">
        <f t="shared" si="1"/>
        <v>0.12319781346088146</v>
      </c>
      <c r="F27" s="20">
        <f t="shared" si="1"/>
        <v>0.12179487179487179</v>
      </c>
      <c r="G27" s="32">
        <f t="shared" si="1"/>
        <v>0.1222559712826177</v>
      </c>
      <c r="H27" s="1"/>
      <c r="I27" s="1"/>
      <c r="K27"/>
      <c r="L27"/>
    </row>
    <row r="28" spans="2:12" x14ac:dyDescent="0.25">
      <c r="B28" s="4" t="s">
        <v>49</v>
      </c>
      <c r="C28" s="2"/>
      <c r="D28" s="3"/>
      <c r="E28" s="20">
        <f t="shared" si="1"/>
        <v>0.12736590365562009</v>
      </c>
      <c r="F28" s="20">
        <f t="shared" si="1"/>
        <v>0.12813545150501673</v>
      </c>
      <c r="G28" s="32">
        <f t="shared" si="1"/>
        <v>0.12805467347784069</v>
      </c>
      <c r="H28" s="1"/>
      <c r="I28" s="1"/>
      <c r="K28"/>
      <c r="L28"/>
    </row>
    <row r="29" spans="2:12" x14ac:dyDescent="0.25">
      <c r="B29" s="4" t="s">
        <v>50</v>
      </c>
      <c r="C29" s="2"/>
      <c r="D29" s="3"/>
      <c r="E29" s="20">
        <f t="shared" si="1"/>
        <v>0.12278783737615305</v>
      </c>
      <c r="F29" s="20">
        <f t="shared" si="1"/>
        <v>0.12186454849498328</v>
      </c>
      <c r="G29" s="32">
        <f t="shared" si="1"/>
        <v>0.12246306778958996</v>
      </c>
      <c r="H29" s="1"/>
      <c r="I29" s="1"/>
      <c r="K29"/>
      <c r="L29"/>
    </row>
    <row r="30" spans="2:12" ht="15.75" thickBot="1" x14ac:dyDescent="0.3">
      <c r="B30" s="35" t="s">
        <v>52</v>
      </c>
      <c r="C30" s="36"/>
      <c r="D30" s="37"/>
      <c r="E30" s="38">
        <f>E17/E$17</f>
        <v>1</v>
      </c>
      <c r="F30" s="38">
        <f t="shared" ref="F30:G30" si="2">F17/F$17</f>
        <v>1</v>
      </c>
      <c r="G30" s="39">
        <f t="shared" si="2"/>
        <v>1</v>
      </c>
      <c r="H30" s="1"/>
      <c r="I30" s="1"/>
      <c r="K30"/>
      <c r="L30"/>
    </row>
    <row r="33" spans="3:4" ht="33.75" x14ac:dyDescent="0.5">
      <c r="C33" s="41" t="s">
        <v>59</v>
      </c>
    </row>
    <row r="34" spans="3:4" x14ac:dyDescent="0.25">
      <c r="C34" s="40" t="s">
        <v>60</v>
      </c>
      <c r="D34" s="42"/>
    </row>
    <row r="35" spans="3:4" x14ac:dyDescent="0.25">
      <c r="C35" t="s">
        <v>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6BA2-9BE1-4D6A-9D33-D31156D800D6}">
  <dimension ref="B1:L28"/>
  <sheetViews>
    <sheetView topLeftCell="A7" workbookViewId="0">
      <selection activeCell="D27" sqref="D27:N28"/>
    </sheetView>
  </sheetViews>
  <sheetFormatPr defaultRowHeight="15" x14ac:dyDescent="0.25"/>
  <cols>
    <col min="5" max="5" width="13.140625" customWidth="1"/>
    <col min="6" max="6" width="14.7109375" customWidth="1"/>
  </cols>
  <sheetData>
    <row r="1" spans="2:12" ht="18.75" x14ac:dyDescent="0.3">
      <c r="B1" s="43" t="s">
        <v>62</v>
      </c>
      <c r="C1" s="43"/>
      <c r="D1" s="43"/>
      <c r="E1" s="43"/>
      <c r="F1" s="43"/>
      <c r="G1" s="43"/>
      <c r="H1" s="43"/>
      <c r="I1" s="43"/>
      <c r="J1" s="43"/>
      <c r="K1" s="43"/>
      <c r="L1" s="43"/>
    </row>
    <row r="5" spans="2:12" x14ac:dyDescent="0.25">
      <c r="D5" s="45" t="s">
        <v>1</v>
      </c>
      <c r="E5" s="45" t="s">
        <v>27</v>
      </c>
      <c r="F5" s="45" t="s">
        <v>63</v>
      </c>
    </row>
    <row r="6" spans="2:12" x14ac:dyDescent="0.25">
      <c r="D6" s="2">
        <v>2016</v>
      </c>
      <c r="E6" s="2">
        <v>122.4</v>
      </c>
      <c r="F6" s="2"/>
    </row>
    <row r="7" spans="2:12" x14ac:dyDescent="0.25">
      <c r="D7" s="2">
        <v>2017</v>
      </c>
      <c r="E7" s="2">
        <v>130.30000000000001</v>
      </c>
      <c r="F7" s="44">
        <v>6.4542483660130712E-2</v>
      </c>
    </row>
    <row r="8" spans="2:12" x14ac:dyDescent="0.25">
      <c r="D8" s="2">
        <v>2018</v>
      </c>
      <c r="E8" s="2">
        <v>136.9</v>
      </c>
      <c r="F8" s="44">
        <v>5.0652340752110447E-2</v>
      </c>
    </row>
    <row r="9" spans="2:12" x14ac:dyDescent="0.25">
      <c r="D9" s="2">
        <v>2019</v>
      </c>
      <c r="E9" s="2">
        <v>139.6</v>
      </c>
      <c r="F9" s="44">
        <v>1.9722425127830512E-2</v>
      </c>
    </row>
    <row r="10" spans="2:12" x14ac:dyDescent="0.25">
      <c r="D10" s="2">
        <v>2020</v>
      </c>
      <c r="E10" s="2">
        <v>150.19999999999999</v>
      </c>
      <c r="F10" s="44">
        <v>7.5931232091690504E-2</v>
      </c>
    </row>
    <row r="11" spans="2:12" x14ac:dyDescent="0.25">
      <c r="D11" s="2">
        <v>2021</v>
      </c>
      <c r="E11" s="2">
        <v>157.30000000000001</v>
      </c>
      <c r="F11" s="44">
        <v>4.7270306258322403E-2</v>
      </c>
    </row>
    <row r="12" spans="2:12" x14ac:dyDescent="0.25">
      <c r="D12" s="2">
        <v>2022</v>
      </c>
      <c r="E12" s="2">
        <v>165.7</v>
      </c>
      <c r="F12" s="44">
        <v>5.3401144310235127E-2</v>
      </c>
    </row>
    <row r="13" spans="2:12" x14ac:dyDescent="0.25">
      <c r="D13" s="2">
        <v>2023</v>
      </c>
      <c r="E13" s="2">
        <v>176.5</v>
      </c>
      <c r="F13" s="44">
        <v>6.5178032589016333E-2</v>
      </c>
    </row>
    <row r="16" spans="2:12" x14ac:dyDescent="0.25">
      <c r="E16" s="2" t="s">
        <v>1</v>
      </c>
      <c r="F16" s="2" t="s">
        <v>63</v>
      </c>
    </row>
    <row r="17" spans="4:6" x14ac:dyDescent="0.25">
      <c r="E17" s="2">
        <v>2017</v>
      </c>
      <c r="F17" s="44">
        <v>6.4542483660130712E-2</v>
      </c>
    </row>
    <row r="18" spans="4:6" x14ac:dyDescent="0.25">
      <c r="E18" s="2">
        <v>2018</v>
      </c>
      <c r="F18" s="44">
        <v>5.0652340752110447E-2</v>
      </c>
    </row>
    <row r="19" spans="4:6" x14ac:dyDescent="0.25">
      <c r="E19" s="2">
        <v>2019</v>
      </c>
      <c r="F19" s="44">
        <v>1.9722425127830512E-2</v>
      </c>
    </row>
    <row r="20" spans="4:6" x14ac:dyDescent="0.25">
      <c r="E20" s="2">
        <v>2020</v>
      </c>
      <c r="F20" s="44">
        <v>7.5931232091690504E-2</v>
      </c>
    </row>
    <row r="21" spans="4:6" x14ac:dyDescent="0.25">
      <c r="E21" s="2">
        <v>2021</v>
      </c>
      <c r="F21" s="44">
        <v>4.7270306258322403E-2</v>
      </c>
    </row>
    <row r="22" spans="4:6" x14ac:dyDescent="0.25">
      <c r="E22" s="2">
        <v>2022</v>
      </c>
      <c r="F22" s="44">
        <v>5.3401144310235127E-2</v>
      </c>
    </row>
    <row r="23" spans="4:6" x14ac:dyDescent="0.25">
      <c r="E23" s="2">
        <v>2023</v>
      </c>
      <c r="F23" s="44">
        <v>6.5178032589016333E-2</v>
      </c>
    </row>
    <row r="26" spans="4:6" ht="26.25" x14ac:dyDescent="0.4">
      <c r="D26" t="s">
        <v>64</v>
      </c>
      <c r="F26" s="46"/>
    </row>
    <row r="27" spans="4:6" ht="18.75" x14ac:dyDescent="0.3">
      <c r="D27" t="s">
        <v>65</v>
      </c>
    </row>
    <row r="28" spans="4:6" x14ac:dyDescent="0.25">
      <c r="D28" t="s">
        <v>66</v>
      </c>
    </row>
  </sheetData>
  <conditionalFormatting sqref="F7:F13">
    <cfRule type="colorScale" priority="1">
      <colorScale>
        <cfvo type="min"/>
        <cfvo type="max"/>
        <color rgb="FFFCFCFF"/>
        <color rgb="FFF8696B"/>
      </colorScale>
    </cfRule>
    <cfRule type="top10" dxfId="0" priority="3" rank="10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55B3-18A5-4B11-B0D9-00F0AA16F038}">
  <dimension ref="A1:P82"/>
  <sheetViews>
    <sheetView topLeftCell="G60" workbookViewId="0">
      <selection activeCell="F82" sqref="F82:M82"/>
    </sheetView>
  </sheetViews>
  <sheetFormatPr defaultRowHeight="15" x14ac:dyDescent="0.25"/>
  <cols>
    <col min="2" max="2" width="18" bestFit="1" customWidth="1"/>
    <col min="4" max="4" width="21.5703125" customWidth="1"/>
    <col min="5" max="5" width="15.28515625" customWidth="1"/>
    <col min="7" max="7" width="19" customWidth="1"/>
    <col min="8" max="8" width="14" customWidth="1"/>
    <col min="10" max="10" width="13.140625" customWidth="1"/>
    <col min="11" max="11" width="20.7109375" customWidth="1"/>
    <col min="12" max="12" width="24.7109375" customWidth="1"/>
    <col min="14" max="14" width="25" customWidth="1"/>
    <col min="15" max="15" width="32.5703125" customWidth="1"/>
    <col min="16" max="16" width="20.85546875" customWidth="1"/>
  </cols>
  <sheetData>
    <row r="1" spans="1:16" ht="18.75" x14ac:dyDescent="0.3">
      <c r="C1" s="50" t="s">
        <v>78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45</v>
      </c>
      <c r="P3" t="s">
        <v>14</v>
      </c>
    </row>
    <row r="4" spans="1:16" hidden="1" x14ac:dyDescent="0.25">
      <c r="A4" t="s">
        <v>28</v>
      </c>
      <c r="B4">
        <v>2022</v>
      </c>
      <c r="C4" t="s">
        <v>35</v>
      </c>
      <c r="D4">
        <v>152.9</v>
      </c>
      <c r="E4">
        <v>214.7</v>
      </c>
      <c r="F4">
        <v>161.4</v>
      </c>
      <c r="G4">
        <v>164.6</v>
      </c>
      <c r="H4">
        <v>209.9</v>
      </c>
      <c r="I4">
        <v>168</v>
      </c>
      <c r="J4">
        <v>160.4</v>
      </c>
      <c r="K4">
        <v>165</v>
      </c>
      <c r="L4">
        <v>118.9</v>
      </c>
      <c r="M4">
        <v>186.6</v>
      </c>
      <c r="N4">
        <v>173.2</v>
      </c>
      <c r="O4">
        <v>180.4</v>
      </c>
      <c r="P4">
        <v>170.8</v>
      </c>
    </row>
    <row r="5" spans="1:16" hidden="1" x14ac:dyDescent="0.25">
      <c r="A5" t="s">
        <v>30</v>
      </c>
      <c r="B5">
        <v>2022</v>
      </c>
      <c r="C5" t="s">
        <v>35</v>
      </c>
      <c r="D5">
        <v>156.69999999999999</v>
      </c>
      <c r="E5">
        <v>221.2</v>
      </c>
      <c r="F5">
        <v>164.1</v>
      </c>
      <c r="G5">
        <v>165.4</v>
      </c>
      <c r="H5">
        <v>189.5</v>
      </c>
      <c r="I5">
        <v>174.5</v>
      </c>
      <c r="J5">
        <v>203.2</v>
      </c>
      <c r="K5">
        <v>164.1</v>
      </c>
      <c r="L5">
        <v>121.2</v>
      </c>
      <c r="M5">
        <v>181.4</v>
      </c>
      <c r="N5">
        <v>158.5</v>
      </c>
      <c r="O5">
        <v>184.9</v>
      </c>
      <c r="P5">
        <v>177.5</v>
      </c>
    </row>
    <row r="6" spans="1:16" x14ac:dyDescent="0.25">
      <c r="A6" t="s">
        <v>31</v>
      </c>
      <c r="B6">
        <v>2022</v>
      </c>
      <c r="C6" t="s">
        <v>35</v>
      </c>
      <c r="D6">
        <v>154.1</v>
      </c>
      <c r="E6">
        <v>217</v>
      </c>
      <c r="F6">
        <v>162.4</v>
      </c>
      <c r="G6">
        <v>164.9</v>
      </c>
      <c r="H6">
        <v>202.4</v>
      </c>
      <c r="I6">
        <v>171</v>
      </c>
      <c r="J6">
        <v>174.9</v>
      </c>
      <c r="K6">
        <v>164.7</v>
      </c>
      <c r="L6">
        <v>119.7</v>
      </c>
      <c r="M6">
        <v>184.9</v>
      </c>
      <c r="N6">
        <v>167.1</v>
      </c>
      <c r="O6">
        <v>182.5</v>
      </c>
      <c r="P6">
        <v>173.3</v>
      </c>
    </row>
    <row r="7" spans="1:16" hidden="1" x14ac:dyDescent="0.25">
      <c r="A7" t="s">
        <v>28</v>
      </c>
      <c r="B7">
        <v>2022</v>
      </c>
      <c r="C7" t="s">
        <v>36</v>
      </c>
      <c r="D7">
        <v>153.80000000000001</v>
      </c>
      <c r="E7">
        <v>217.2</v>
      </c>
      <c r="F7">
        <v>169.6</v>
      </c>
      <c r="G7">
        <v>165.4</v>
      </c>
      <c r="H7">
        <v>208.1</v>
      </c>
      <c r="I7">
        <v>165.8</v>
      </c>
      <c r="J7">
        <v>167.3</v>
      </c>
      <c r="K7">
        <v>164.6</v>
      </c>
      <c r="L7">
        <v>119.1</v>
      </c>
      <c r="M7">
        <v>188.9</v>
      </c>
      <c r="N7">
        <v>174.2</v>
      </c>
      <c r="O7">
        <v>181.9</v>
      </c>
      <c r="P7">
        <v>172.4</v>
      </c>
    </row>
    <row r="8" spans="1:16" hidden="1" x14ac:dyDescent="0.25">
      <c r="A8" t="s">
        <v>30</v>
      </c>
      <c r="B8">
        <v>2022</v>
      </c>
      <c r="C8" t="s">
        <v>36</v>
      </c>
      <c r="D8">
        <v>157.5</v>
      </c>
      <c r="E8">
        <v>223.4</v>
      </c>
      <c r="F8">
        <v>172.8</v>
      </c>
      <c r="G8">
        <v>166.4</v>
      </c>
      <c r="H8">
        <v>188.6</v>
      </c>
      <c r="I8">
        <v>174.1</v>
      </c>
      <c r="J8">
        <v>211.5</v>
      </c>
      <c r="K8">
        <v>163.6</v>
      </c>
      <c r="L8">
        <v>121.4</v>
      </c>
      <c r="M8">
        <v>183.5</v>
      </c>
      <c r="N8">
        <v>159.1</v>
      </c>
      <c r="O8">
        <v>186.3</v>
      </c>
      <c r="P8">
        <v>179.3</v>
      </c>
    </row>
    <row r="9" spans="1:16" x14ac:dyDescent="0.25">
      <c r="A9" t="s">
        <v>31</v>
      </c>
      <c r="B9">
        <v>2022</v>
      </c>
      <c r="C9" t="s">
        <v>36</v>
      </c>
      <c r="D9">
        <v>155</v>
      </c>
      <c r="E9">
        <v>219.4</v>
      </c>
      <c r="F9">
        <v>170.8</v>
      </c>
      <c r="G9">
        <v>165.8</v>
      </c>
      <c r="H9">
        <v>200.9</v>
      </c>
      <c r="I9">
        <v>169.7</v>
      </c>
      <c r="J9">
        <v>182.3</v>
      </c>
      <c r="K9">
        <v>164.3</v>
      </c>
      <c r="L9">
        <v>119.9</v>
      </c>
      <c r="M9">
        <v>187.1</v>
      </c>
      <c r="N9">
        <v>167.9</v>
      </c>
      <c r="O9">
        <v>183.9</v>
      </c>
      <c r="P9">
        <v>174.9</v>
      </c>
    </row>
    <row r="10" spans="1:16" hidden="1" x14ac:dyDescent="0.25">
      <c r="A10" t="s">
        <v>28</v>
      </c>
      <c r="B10">
        <v>2022</v>
      </c>
      <c r="C10" t="s">
        <v>37</v>
      </c>
      <c r="D10">
        <v>155.19999999999999</v>
      </c>
      <c r="E10">
        <v>210.8</v>
      </c>
      <c r="F10">
        <v>174.3</v>
      </c>
      <c r="G10">
        <v>166.3</v>
      </c>
      <c r="H10">
        <v>202.2</v>
      </c>
      <c r="I10">
        <v>169.6</v>
      </c>
      <c r="J10">
        <v>168.6</v>
      </c>
      <c r="K10">
        <v>164.4</v>
      </c>
      <c r="L10">
        <v>119.2</v>
      </c>
      <c r="M10">
        <v>191.8</v>
      </c>
      <c r="N10">
        <v>174.5</v>
      </c>
      <c r="O10">
        <v>183.1</v>
      </c>
      <c r="P10">
        <v>172.5</v>
      </c>
    </row>
    <row r="11" spans="1:16" hidden="1" x14ac:dyDescent="0.25">
      <c r="A11" t="s">
        <v>30</v>
      </c>
      <c r="B11">
        <v>2022</v>
      </c>
      <c r="C11" t="s">
        <v>37</v>
      </c>
      <c r="D11">
        <v>159.30000000000001</v>
      </c>
      <c r="E11">
        <v>217.1</v>
      </c>
      <c r="F11">
        <v>176.6</v>
      </c>
      <c r="G11">
        <v>167.1</v>
      </c>
      <c r="H11">
        <v>184.8</v>
      </c>
      <c r="I11">
        <v>179.5</v>
      </c>
      <c r="J11">
        <v>208.5</v>
      </c>
      <c r="K11">
        <v>164</v>
      </c>
      <c r="L11">
        <v>121.5</v>
      </c>
      <c r="M11">
        <v>186.3</v>
      </c>
      <c r="N11">
        <v>159.80000000000001</v>
      </c>
      <c r="O11">
        <v>187.7</v>
      </c>
      <c r="P11">
        <v>179.4</v>
      </c>
    </row>
    <row r="12" spans="1:16" x14ac:dyDescent="0.25">
      <c r="A12" t="s">
        <v>31</v>
      </c>
      <c r="B12">
        <v>2022</v>
      </c>
      <c r="C12" t="s">
        <v>37</v>
      </c>
      <c r="D12">
        <v>156.5</v>
      </c>
      <c r="E12">
        <v>213</v>
      </c>
      <c r="F12">
        <v>175.2</v>
      </c>
      <c r="G12">
        <v>166.6</v>
      </c>
      <c r="H12">
        <v>195.8</v>
      </c>
      <c r="I12">
        <v>174.2</v>
      </c>
      <c r="J12">
        <v>182.1</v>
      </c>
      <c r="K12">
        <v>164.3</v>
      </c>
      <c r="L12">
        <v>120</v>
      </c>
      <c r="M12">
        <v>190</v>
      </c>
      <c r="N12">
        <v>168.4</v>
      </c>
      <c r="O12">
        <v>185.2</v>
      </c>
      <c r="P12">
        <v>175</v>
      </c>
    </row>
    <row r="13" spans="1:16" hidden="1" x14ac:dyDescent="0.25">
      <c r="A13" t="s">
        <v>28</v>
      </c>
      <c r="B13">
        <v>2022</v>
      </c>
      <c r="C13" t="s">
        <v>38</v>
      </c>
      <c r="D13">
        <v>159.5</v>
      </c>
      <c r="E13">
        <v>204.1</v>
      </c>
      <c r="F13">
        <v>168.3</v>
      </c>
      <c r="G13">
        <v>167.9</v>
      </c>
      <c r="H13">
        <v>198.1</v>
      </c>
      <c r="I13">
        <v>169.2</v>
      </c>
      <c r="J13">
        <v>173.1</v>
      </c>
      <c r="K13">
        <v>167.1</v>
      </c>
      <c r="L13">
        <v>120.2</v>
      </c>
      <c r="M13">
        <v>195.6</v>
      </c>
      <c r="N13">
        <v>174.8</v>
      </c>
      <c r="O13">
        <v>184</v>
      </c>
      <c r="P13">
        <v>173.9</v>
      </c>
    </row>
    <row r="14" spans="1:16" hidden="1" x14ac:dyDescent="0.25">
      <c r="A14" t="s">
        <v>30</v>
      </c>
      <c r="B14">
        <v>2022</v>
      </c>
      <c r="C14" t="s">
        <v>38</v>
      </c>
      <c r="D14">
        <v>162.1</v>
      </c>
      <c r="E14">
        <v>210.9</v>
      </c>
      <c r="F14">
        <v>170.6</v>
      </c>
      <c r="G14">
        <v>168.4</v>
      </c>
      <c r="H14">
        <v>182.5</v>
      </c>
      <c r="I14">
        <v>177.1</v>
      </c>
      <c r="J14">
        <v>213.1</v>
      </c>
      <c r="K14">
        <v>167.3</v>
      </c>
      <c r="L14">
        <v>122.2</v>
      </c>
      <c r="M14">
        <v>189.7</v>
      </c>
      <c r="N14">
        <v>160.5</v>
      </c>
      <c r="O14">
        <v>188.9</v>
      </c>
      <c r="P14">
        <v>180.4</v>
      </c>
    </row>
    <row r="15" spans="1:16" x14ac:dyDescent="0.25">
      <c r="A15" t="s">
        <v>31</v>
      </c>
      <c r="B15">
        <v>2022</v>
      </c>
      <c r="C15" t="s">
        <v>38</v>
      </c>
      <c r="D15">
        <v>160.30000000000001</v>
      </c>
      <c r="E15">
        <v>206.5</v>
      </c>
      <c r="F15">
        <v>169.2</v>
      </c>
      <c r="G15">
        <v>168.1</v>
      </c>
      <c r="H15">
        <v>192.4</v>
      </c>
      <c r="I15">
        <v>172.9</v>
      </c>
      <c r="J15">
        <v>186.7</v>
      </c>
      <c r="K15">
        <v>167.2</v>
      </c>
      <c r="L15">
        <v>120.9</v>
      </c>
      <c r="M15">
        <v>193.6</v>
      </c>
      <c r="N15">
        <v>168.8</v>
      </c>
      <c r="O15">
        <v>186.3</v>
      </c>
      <c r="P15">
        <v>176.3</v>
      </c>
    </row>
    <row r="16" spans="1:16" hidden="1" x14ac:dyDescent="0.25">
      <c r="A16" t="s">
        <v>28</v>
      </c>
      <c r="B16">
        <v>2022</v>
      </c>
      <c r="C16" t="s">
        <v>39</v>
      </c>
      <c r="D16">
        <v>162.9</v>
      </c>
      <c r="E16">
        <v>206.7</v>
      </c>
      <c r="F16">
        <v>169</v>
      </c>
      <c r="G16">
        <v>169.5</v>
      </c>
      <c r="H16">
        <v>194.1</v>
      </c>
      <c r="I16">
        <v>164.1</v>
      </c>
      <c r="J16">
        <v>176.9</v>
      </c>
      <c r="K16">
        <v>169</v>
      </c>
      <c r="L16">
        <v>120.8</v>
      </c>
      <c r="M16">
        <v>199.1</v>
      </c>
      <c r="N16">
        <v>175.4</v>
      </c>
      <c r="O16">
        <v>184.8</v>
      </c>
      <c r="P16">
        <v>175.5</v>
      </c>
    </row>
    <row r="17" spans="1:16" hidden="1" x14ac:dyDescent="0.25">
      <c r="A17" t="s">
        <v>30</v>
      </c>
      <c r="B17">
        <v>2022</v>
      </c>
      <c r="C17" t="s">
        <v>39</v>
      </c>
      <c r="D17">
        <v>164.9</v>
      </c>
      <c r="E17">
        <v>213.7</v>
      </c>
      <c r="F17">
        <v>170.9</v>
      </c>
      <c r="G17">
        <v>170.1</v>
      </c>
      <c r="H17">
        <v>179.3</v>
      </c>
      <c r="I17">
        <v>167.5</v>
      </c>
      <c r="J17">
        <v>220.8</v>
      </c>
      <c r="K17">
        <v>169.2</v>
      </c>
      <c r="L17">
        <v>123.1</v>
      </c>
      <c r="M17">
        <v>193.6</v>
      </c>
      <c r="N17">
        <v>161.1</v>
      </c>
      <c r="O17">
        <v>190.4</v>
      </c>
      <c r="P17">
        <v>181.8</v>
      </c>
    </row>
    <row r="18" spans="1:16" x14ac:dyDescent="0.25">
      <c r="A18" t="s">
        <v>31</v>
      </c>
      <c r="B18">
        <v>2022</v>
      </c>
      <c r="C18" t="s">
        <v>39</v>
      </c>
      <c r="D18">
        <v>163.5</v>
      </c>
      <c r="E18">
        <v>209.2</v>
      </c>
      <c r="F18">
        <v>169.7</v>
      </c>
      <c r="G18">
        <v>169.7</v>
      </c>
      <c r="H18">
        <v>188.7</v>
      </c>
      <c r="I18">
        <v>165.7</v>
      </c>
      <c r="J18">
        <v>191.8</v>
      </c>
      <c r="K18">
        <v>169.1</v>
      </c>
      <c r="L18">
        <v>121.6</v>
      </c>
      <c r="M18">
        <v>197.3</v>
      </c>
      <c r="N18">
        <v>169.4</v>
      </c>
      <c r="O18">
        <v>187.4</v>
      </c>
      <c r="P18">
        <v>177.8</v>
      </c>
    </row>
    <row r="19" spans="1:16" hidden="1" x14ac:dyDescent="0.25">
      <c r="A19" t="s">
        <v>28</v>
      </c>
      <c r="B19">
        <v>2022</v>
      </c>
      <c r="C19" t="s">
        <v>40</v>
      </c>
      <c r="D19">
        <v>164.7</v>
      </c>
      <c r="E19">
        <v>208.8</v>
      </c>
      <c r="F19">
        <v>170.3</v>
      </c>
      <c r="G19">
        <v>170.9</v>
      </c>
      <c r="H19">
        <v>191.6</v>
      </c>
      <c r="I19">
        <v>162.19999999999999</v>
      </c>
      <c r="J19">
        <v>184.8</v>
      </c>
      <c r="K19">
        <v>169.7</v>
      </c>
      <c r="L19">
        <v>121.1</v>
      </c>
      <c r="M19">
        <v>201.6</v>
      </c>
      <c r="N19">
        <v>175.8</v>
      </c>
      <c r="O19">
        <v>185.6</v>
      </c>
      <c r="P19">
        <v>177.4</v>
      </c>
    </row>
    <row r="20" spans="1:16" hidden="1" x14ac:dyDescent="0.25">
      <c r="A20" t="s">
        <v>30</v>
      </c>
      <c r="B20">
        <v>2022</v>
      </c>
      <c r="C20" t="s">
        <v>40</v>
      </c>
      <c r="D20">
        <v>166.4</v>
      </c>
      <c r="E20">
        <v>214.9</v>
      </c>
      <c r="F20">
        <v>171.9</v>
      </c>
      <c r="G20">
        <v>171</v>
      </c>
      <c r="H20">
        <v>177.7</v>
      </c>
      <c r="I20">
        <v>165.7</v>
      </c>
      <c r="J20">
        <v>228.6</v>
      </c>
      <c r="K20">
        <v>169.9</v>
      </c>
      <c r="L20">
        <v>123.4</v>
      </c>
      <c r="M20">
        <v>196.4</v>
      </c>
      <c r="N20">
        <v>161.6</v>
      </c>
      <c r="O20">
        <v>191.5</v>
      </c>
      <c r="P20">
        <v>183.3</v>
      </c>
    </row>
    <row r="21" spans="1:16" x14ac:dyDescent="0.25">
      <c r="A21" t="s">
        <v>31</v>
      </c>
      <c r="B21">
        <v>2022</v>
      </c>
      <c r="C21" t="s">
        <v>40</v>
      </c>
      <c r="D21">
        <v>165.2</v>
      </c>
      <c r="E21">
        <v>210.9</v>
      </c>
      <c r="F21">
        <v>170.9</v>
      </c>
      <c r="G21">
        <v>170.9</v>
      </c>
      <c r="H21">
        <v>186.5</v>
      </c>
      <c r="I21">
        <v>163.80000000000001</v>
      </c>
      <c r="J21">
        <v>199.7</v>
      </c>
      <c r="K21">
        <v>169.8</v>
      </c>
      <c r="L21">
        <v>121.9</v>
      </c>
      <c r="M21">
        <v>199.9</v>
      </c>
      <c r="N21">
        <v>169.9</v>
      </c>
      <c r="O21">
        <v>188.3</v>
      </c>
      <c r="P21">
        <v>179.6</v>
      </c>
    </row>
    <row r="22" spans="1:16" hidden="1" x14ac:dyDescent="0.25">
      <c r="A22" t="s">
        <v>28</v>
      </c>
      <c r="B22">
        <v>2022</v>
      </c>
      <c r="C22" t="s">
        <v>42</v>
      </c>
      <c r="D22">
        <v>166.9</v>
      </c>
      <c r="E22">
        <v>207.2</v>
      </c>
      <c r="F22">
        <v>180.2</v>
      </c>
      <c r="G22">
        <v>172.3</v>
      </c>
      <c r="H22">
        <v>194</v>
      </c>
      <c r="I22">
        <v>159.1</v>
      </c>
      <c r="J22">
        <v>171.6</v>
      </c>
      <c r="K22">
        <v>170.2</v>
      </c>
      <c r="L22">
        <v>121.5</v>
      </c>
      <c r="M22">
        <v>204.8</v>
      </c>
      <c r="N22">
        <v>176.4</v>
      </c>
      <c r="O22">
        <v>186.9</v>
      </c>
      <c r="P22">
        <v>176.6</v>
      </c>
    </row>
    <row r="23" spans="1:16" hidden="1" x14ac:dyDescent="0.25">
      <c r="A23" t="s">
        <v>30</v>
      </c>
      <c r="B23">
        <v>2022</v>
      </c>
      <c r="C23" t="s">
        <v>42</v>
      </c>
      <c r="D23">
        <v>168.4</v>
      </c>
      <c r="E23">
        <v>213.4</v>
      </c>
      <c r="F23">
        <v>183.2</v>
      </c>
      <c r="G23">
        <v>172.3</v>
      </c>
      <c r="H23">
        <v>180</v>
      </c>
      <c r="I23">
        <v>162.6</v>
      </c>
      <c r="J23">
        <v>205.5</v>
      </c>
      <c r="K23">
        <v>171</v>
      </c>
      <c r="L23">
        <v>123.4</v>
      </c>
      <c r="M23">
        <v>198.8</v>
      </c>
      <c r="N23">
        <v>162.1</v>
      </c>
      <c r="O23">
        <v>192.4</v>
      </c>
      <c r="P23">
        <v>181.3</v>
      </c>
    </row>
    <row r="24" spans="1:16" x14ac:dyDescent="0.25">
      <c r="A24" t="s">
        <v>31</v>
      </c>
      <c r="B24">
        <v>2022</v>
      </c>
      <c r="C24" t="s">
        <v>42</v>
      </c>
      <c r="D24">
        <v>167.4</v>
      </c>
      <c r="E24">
        <v>209.4</v>
      </c>
      <c r="F24">
        <v>181.4</v>
      </c>
      <c r="G24">
        <v>172.3</v>
      </c>
      <c r="H24">
        <v>188.9</v>
      </c>
      <c r="I24">
        <v>160.69999999999999</v>
      </c>
      <c r="J24">
        <v>183.1</v>
      </c>
      <c r="K24">
        <v>170.5</v>
      </c>
      <c r="L24">
        <v>122.1</v>
      </c>
      <c r="M24">
        <v>202.8</v>
      </c>
      <c r="N24">
        <v>170.4</v>
      </c>
      <c r="O24">
        <v>189.5</v>
      </c>
      <c r="P24">
        <v>178.3</v>
      </c>
    </row>
    <row r="25" spans="1:16" hidden="1" x14ac:dyDescent="0.25">
      <c r="A25" t="s">
        <v>28</v>
      </c>
      <c r="B25">
        <v>2022</v>
      </c>
      <c r="C25" t="s">
        <v>43</v>
      </c>
      <c r="D25">
        <v>168.8</v>
      </c>
      <c r="E25">
        <v>206.9</v>
      </c>
      <c r="F25">
        <v>189.1</v>
      </c>
      <c r="G25">
        <v>173.4</v>
      </c>
      <c r="H25">
        <v>193.9</v>
      </c>
      <c r="I25">
        <v>156.69999999999999</v>
      </c>
      <c r="J25">
        <v>150.19999999999999</v>
      </c>
      <c r="K25">
        <v>170.5</v>
      </c>
      <c r="L25">
        <v>121.2</v>
      </c>
      <c r="M25">
        <v>207.5</v>
      </c>
      <c r="N25">
        <v>176.8</v>
      </c>
      <c r="O25">
        <v>187.7</v>
      </c>
      <c r="P25">
        <v>174.4</v>
      </c>
    </row>
    <row r="26" spans="1:16" hidden="1" x14ac:dyDescent="0.25">
      <c r="A26" t="s">
        <v>30</v>
      </c>
      <c r="B26">
        <v>2022</v>
      </c>
      <c r="C26" t="s">
        <v>43</v>
      </c>
      <c r="D26">
        <v>170.2</v>
      </c>
      <c r="E26">
        <v>212.9</v>
      </c>
      <c r="F26">
        <v>191.9</v>
      </c>
      <c r="G26">
        <v>173.9</v>
      </c>
      <c r="H26">
        <v>179.1</v>
      </c>
      <c r="I26">
        <v>159.5</v>
      </c>
      <c r="J26">
        <v>178.7</v>
      </c>
      <c r="K26">
        <v>171.3</v>
      </c>
      <c r="L26">
        <v>123.1</v>
      </c>
      <c r="M26">
        <v>200.5</v>
      </c>
      <c r="N26">
        <v>162.80000000000001</v>
      </c>
      <c r="O26">
        <v>193.3</v>
      </c>
      <c r="P26">
        <v>178.6</v>
      </c>
    </row>
    <row r="27" spans="1:16" x14ac:dyDescent="0.25">
      <c r="A27" t="s">
        <v>31</v>
      </c>
      <c r="B27">
        <v>2022</v>
      </c>
      <c r="C27" t="s">
        <v>43</v>
      </c>
      <c r="D27">
        <v>169.2</v>
      </c>
      <c r="E27">
        <v>209</v>
      </c>
      <c r="F27">
        <v>190.2</v>
      </c>
      <c r="G27">
        <v>173.6</v>
      </c>
      <c r="H27">
        <v>188.5</v>
      </c>
      <c r="I27">
        <v>158</v>
      </c>
      <c r="J27">
        <v>159.9</v>
      </c>
      <c r="K27">
        <v>170.8</v>
      </c>
      <c r="L27">
        <v>121.8</v>
      </c>
      <c r="M27">
        <v>205.2</v>
      </c>
      <c r="N27">
        <v>171</v>
      </c>
      <c r="O27">
        <v>190.3</v>
      </c>
      <c r="P27">
        <v>175.9</v>
      </c>
    </row>
    <row r="28" spans="1:16" hidden="1" x14ac:dyDescent="0.25">
      <c r="A28" t="s">
        <v>28</v>
      </c>
      <c r="B28">
        <v>2023</v>
      </c>
      <c r="C28" t="s">
        <v>29</v>
      </c>
      <c r="D28">
        <v>174</v>
      </c>
      <c r="E28">
        <v>208.3</v>
      </c>
      <c r="F28">
        <v>192.9</v>
      </c>
      <c r="G28">
        <v>174.3</v>
      </c>
      <c r="H28">
        <v>192.6</v>
      </c>
      <c r="I28">
        <v>156.30000000000001</v>
      </c>
      <c r="J28">
        <v>142.9</v>
      </c>
      <c r="K28">
        <v>170.7</v>
      </c>
      <c r="L28">
        <v>120.3</v>
      </c>
      <c r="M28">
        <v>210.5</v>
      </c>
      <c r="N28">
        <v>176.9</v>
      </c>
      <c r="O28">
        <v>188.5</v>
      </c>
      <c r="P28">
        <v>175</v>
      </c>
    </row>
    <row r="29" spans="1:16" hidden="1" x14ac:dyDescent="0.25">
      <c r="A29" t="s">
        <v>30</v>
      </c>
      <c r="B29">
        <v>2023</v>
      </c>
      <c r="C29" t="s">
        <v>29</v>
      </c>
      <c r="D29">
        <v>173.3</v>
      </c>
      <c r="E29">
        <v>215.2</v>
      </c>
      <c r="F29">
        <v>197</v>
      </c>
      <c r="G29">
        <v>175.2</v>
      </c>
      <c r="H29">
        <v>178</v>
      </c>
      <c r="I29">
        <v>160.5</v>
      </c>
      <c r="J29">
        <v>175.3</v>
      </c>
      <c r="K29">
        <v>171.2</v>
      </c>
      <c r="L29">
        <v>122.7</v>
      </c>
      <c r="M29">
        <v>204.3</v>
      </c>
      <c r="N29">
        <v>163.69999999999999</v>
      </c>
      <c r="O29">
        <v>194.3</v>
      </c>
      <c r="P29">
        <v>179.5</v>
      </c>
    </row>
    <row r="30" spans="1:16" x14ac:dyDescent="0.25">
      <c r="A30" t="s">
        <v>31</v>
      </c>
      <c r="B30">
        <v>2023</v>
      </c>
      <c r="C30" t="s">
        <v>29</v>
      </c>
      <c r="D30">
        <v>173.8</v>
      </c>
      <c r="E30">
        <v>210.7</v>
      </c>
      <c r="F30">
        <v>194.5</v>
      </c>
      <c r="G30">
        <v>174.6</v>
      </c>
      <c r="H30">
        <v>187.2</v>
      </c>
      <c r="I30">
        <v>158.30000000000001</v>
      </c>
      <c r="J30">
        <v>153.9</v>
      </c>
      <c r="K30">
        <v>170.9</v>
      </c>
      <c r="L30">
        <v>121.1</v>
      </c>
      <c r="M30">
        <v>208.4</v>
      </c>
      <c r="N30">
        <v>171.4</v>
      </c>
      <c r="O30">
        <v>191.2</v>
      </c>
      <c r="P30">
        <v>176.7</v>
      </c>
    </row>
    <row r="31" spans="1:16" hidden="1" x14ac:dyDescent="0.25">
      <c r="A31" t="s">
        <v>28</v>
      </c>
      <c r="B31">
        <v>2023</v>
      </c>
      <c r="C31" t="s">
        <v>32</v>
      </c>
      <c r="D31">
        <v>174.2</v>
      </c>
      <c r="E31">
        <v>205.2</v>
      </c>
      <c r="F31">
        <v>173.9</v>
      </c>
      <c r="G31">
        <v>177</v>
      </c>
      <c r="H31">
        <v>183.4</v>
      </c>
      <c r="I31">
        <v>167.2</v>
      </c>
      <c r="J31">
        <v>140.9</v>
      </c>
      <c r="K31">
        <v>170.4</v>
      </c>
      <c r="L31">
        <v>119.1</v>
      </c>
      <c r="M31">
        <v>212.1</v>
      </c>
      <c r="N31">
        <v>177.6</v>
      </c>
      <c r="O31">
        <v>189.9</v>
      </c>
      <c r="P31">
        <v>174.8</v>
      </c>
    </row>
    <row r="32" spans="1:16" hidden="1" x14ac:dyDescent="0.25">
      <c r="A32" t="s">
        <v>30</v>
      </c>
      <c r="B32">
        <v>2023</v>
      </c>
      <c r="C32" t="s">
        <v>32</v>
      </c>
      <c r="D32">
        <v>174.7</v>
      </c>
      <c r="E32">
        <v>212.2</v>
      </c>
      <c r="F32">
        <v>177.2</v>
      </c>
      <c r="G32">
        <v>177.9</v>
      </c>
      <c r="H32">
        <v>172.2</v>
      </c>
      <c r="I32">
        <v>172.1</v>
      </c>
      <c r="J32">
        <v>175.8</v>
      </c>
      <c r="K32">
        <v>172.2</v>
      </c>
      <c r="L32">
        <v>121.9</v>
      </c>
      <c r="M32">
        <v>204.8</v>
      </c>
      <c r="N32">
        <v>164.9</v>
      </c>
      <c r="O32">
        <v>196.6</v>
      </c>
      <c r="P32">
        <v>180.7</v>
      </c>
    </row>
    <row r="33" spans="1:16" x14ac:dyDescent="0.25">
      <c r="A33" t="s">
        <v>31</v>
      </c>
      <c r="B33">
        <v>2023</v>
      </c>
      <c r="C33" t="s">
        <v>32</v>
      </c>
      <c r="D33">
        <v>174.4</v>
      </c>
      <c r="E33">
        <v>207.7</v>
      </c>
      <c r="F33">
        <v>175.2</v>
      </c>
      <c r="G33">
        <v>177.3</v>
      </c>
      <c r="H33">
        <v>179.3</v>
      </c>
      <c r="I33">
        <v>169.5</v>
      </c>
      <c r="J33">
        <v>152.69999999999999</v>
      </c>
      <c r="K33">
        <v>171</v>
      </c>
      <c r="L33">
        <v>120</v>
      </c>
      <c r="M33">
        <v>209.7</v>
      </c>
      <c r="N33">
        <v>172.3</v>
      </c>
      <c r="O33">
        <v>193</v>
      </c>
      <c r="P33">
        <v>177</v>
      </c>
    </row>
    <row r="34" spans="1:16" hidden="1" x14ac:dyDescent="0.25">
      <c r="A34" t="s">
        <v>28</v>
      </c>
      <c r="B34">
        <v>2023</v>
      </c>
      <c r="C34" t="s">
        <v>33</v>
      </c>
      <c r="D34">
        <v>174.3</v>
      </c>
      <c r="E34">
        <v>205.2</v>
      </c>
      <c r="F34">
        <v>173.9</v>
      </c>
      <c r="G34">
        <v>177</v>
      </c>
      <c r="H34">
        <v>183.3</v>
      </c>
      <c r="I34">
        <v>167.2</v>
      </c>
      <c r="J34">
        <v>140.9</v>
      </c>
      <c r="K34">
        <v>170.5</v>
      </c>
      <c r="L34">
        <v>119.1</v>
      </c>
      <c r="M34">
        <v>212.1</v>
      </c>
      <c r="N34">
        <v>177.6</v>
      </c>
      <c r="O34">
        <v>189.9</v>
      </c>
      <c r="P34">
        <v>174.8</v>
      </c>
    </row>
    <row r="35" spans="1:16" hidden="1" x14ac:dyDescent="0.25">
      <c r="A35" t="s">
        <v>30</v>
      </c>
      <c r="B35">
        <v>2023</v>
      </c>
      <c r="C35" t="s">
        <v>33</v>
      </c>
      <c r="D35">
        <v>174.7</v>
      </c>
      <c r="E35">
        <v>212.2</v>
      </c>
      <c r="F35">
        <v>177.2</v>
      </c>
      <c r="G35">
        <v>177.9</v>
      </c>
      <c r="H35">
        <v>172.2</v>
      </c>
      <c r="I35">
        <v>172.1</v>
      </c>
      <c r="J35">
        <v>175.9</v>
      </c>
      <c r="K35">
        <v>172.2</v>
      </c>
      <c r="L35">
        <v>121.9</v>
      </c>
      <c r="M35">
        <v>204.8</v>
      </c>
      <c r="N35">
        <v>164.9</v>
      </c>
      <c r="O35">
        <v>196.6</v>
      </c>
      <c r="P35">
        <v>180.8</v>
      </c>
    </row>
    <row r="36" spans="1:16" x14ac:dyDescent="0.25">
      <c r="A36" t="s">
        <v>31</v>
      </c>
      <c r="B36">
        <v>2023</v>
      </c>
      <c r="C36" t="s">
        <v>33</v>
      </c>
      <c r="D36">
        <v>174.4</v>
      </c>
      <c r="E36">
        <v>207.7</v>
      </c>
      <c r="F36">
        <v>175.2</v>
      </c>
      <c r="G36">
        <v>177.3</v>
      </c>
      <c r="H36">
        <v>179.2</v>
      </c>
      <c r="I36">
        <v>169.5</v>
      </c>
      <c r="J36">
        <v>152.80000000000001</v>
      </c>
      <c r="K36">
        <v>171.1</v>
      </c>
      <c r="L36">
        <v>120</v>
      </c>
      <c r="M36">
        <v>209.7</v>
      </c>
      <c r="N36">
        <v>172.3</v>
      </c>
      <c r="O36">
        <v>193</v>
      </c>
      <c r="P36">
        <v>177</v>
      </c>
    </row>
    <row r="37" spans="1:16" hidden="1" x14ac:dyDescent="0.25">
      <c r="A37" t="s">
        <v>28</v>
      </c>
      <c r="B37">
        <v>2023</v>
      </c>
      <c r="C37" t="s">
        <v>34</v>
      </c>
      <c r="D37">
        <v>173.3</v>
      </c>
      <c r="E37">
        <v>206.9</v>
      </c>
      <c r="F37">
        <v>167.9</v>
      </c>
      <c r="G37">
        <v>178.2</v>
      </c>
      <c r="H37">
        <v>178.5</v>
      </c>
      <c r="I37">
        <v>173.7</v>
      </c>
      <c r="J37">
        <v>142.80000000000001</v>
      </c>
      <c r="K37">
        <v>172.8</v>
      </c>
      <c r="L37">
        <v>120.4</v>
      </c>
      <c r="M37">
        <v>215.5</v>
      </c>
      <c r="N37">
        <v>178.2</v>
      </c>
      <c r="O37">
        <v>190.5</v>
      </c>
      <c r="P37">
        <v>175.5</v>
      </c>
    </row>
    <row r="38" spans="1:16" hidden="1" x14ac:dyDescent="0.25">
      <c r="A38" t="s">
        <v>30</v>
      </c>
      <c r="B38">
        <v>2023</v>
      </c>
      <c r="C38" t="s">
        <v>34</v>
      </c>
      <c r="D38">
        <v>174.8</v>
      </c>
      <c r="E38">
        <v>213.7</v>
      </c>
      <c r="F38">
        <v>172.4</v>
      </c>
      <c r="G38">
        <v>178.8</v>
      </c>
      <c r="H38">
        <v>168.7</v>
      </c>
      <c r="I38">
        <v>179.2</v>
      </c>
      <c r="J38">
        <v>179.9</v>
      </c>
      <c r="K38">
        <v>174.7</v>
      </c>
      <c r="L38">
        <v>123.1</v>
      </c>
      <c r="M38">
        <v>207.8</v>
      </c>
      <c r="N38">
        <v>165.5</v>
      </c>
      <c r="O38">
        <v>197</v>
      </c>
      <c r="P38">
        <v>182.1</v>
      </c>
    </row>
    <row r="39" spans="1:16" x14ac:dyDescent="0.25">
      <c r="A39" t="s">
        <v>31</v>
      </c>
      <c r="B39">
        <v>2023</v>
      </c>
      <c r="C39" t="s">
        <v>34</v>
      </c>
      <c r="D39">
        <v>173.8</v>
      </c>
      <c r="E39">
        <v>209.3</v>
      </c>
      <c r="F39">
        <v>169.6</v>
      </c>
      <c r="G39">
        <v>178.4</v>
      </c>
      <c r="H39">
        <v>174.9</v>
      </c>
      <c r="I39">
        <v>176.3</v>
      </c>
      <c r="J39">
        <v>155.4</v>
      </c>
      <c r="K39">
        <v>173.4</v>
      </c>
      <c r="L39">
        <v>121.3</v>
      </c>
      <c r="M39">
        <v>212.9</v>
      </c>
      <c r="N39">
        <v>172.9</v>
      </c>
      <c r="O39">
        <v>193.5</v>
      </c>
      <c r="P39">
        <v>177.9</v>
      </c>
    </row>
    <row r="40" spans="1:16" hidden="1" x14ac:dyDescent="0.25">
      <c r="A40" t="s">
        <v>28</v>
      </c>
      <c r="B40">
        <v>2023</v>
      </c>
      <c r="C40" t="s">
        <v>35</v>
      </c>
      <c r="D40">
        <v>173.2</v>
      </c>
      <c r="E40">
        <v>211.5</v>
      </c>
      <c r="F40">
        <v>171</v>
      </c>
      <c r="G40">
        <v>179.6</v>
      </c>
      <c r="H40">
        <v>173.3</v>
      </c>
      <c r="I40">
        <v>169</v>
      </c>
      <c r="J40">
        <v>148.69999999999999</v>
      </c>
      <c r="K40">
        <v>174.9</v>
      </c>
      <c r="L40">
        <v>121.9</v>
      </c>
      <c r="M40">
        <v>221</v>
      </c>
      <c r="N40">
        <v>178.7</v>
      </c>
      <c r="O40">
        <v>191.1</v>
      </c>
      <c r="P40">
        <v>176.8</v>
      </c>
    </row>
    <row r="41" spans="1:16" hidden="1" x14ac:dyDescent="0.25">
      <c r="A41" t="s">
        <v>30</v>
      </c>
      <c r="B41">
        <v>2023</v>
      </c>
      <c r="C41" t="s">
        <v>35</v>
      </c>
      <c r="D41">
        <v>174.7</v>
      </c>
      <c r="E41">
        <v>219.4</v>
      </c>
      <c r="F41">
        <v>176.7</v>
      </c>
      <c r="G41">
        <v>179.4</v>
      </c>
      <c r="H41">
        <v>164.4</v>
      </c>
      <c r="I41">
        <v>175.8</v>
      </c>
      <c r="J41">
        <v>185</v>
      </c>
      <c r="K41">
        <v>176.9</v>
      </c>
      <c r="L41">
        <v>124.2</v>
      </c>
      <c r="M41">
        <v>211.9</v>
      </c>
      <c r="N41">
        <v>165.9</v>
      </c>
      <c r="O41">
        <v>197.7</v>
      </c>
      <c r="P41">
        <v>183.1</v>
      </c>
    </row>
    <row r="42" spans="1:16" x14ac:dyDescent="0.25">
      <c r="A42" t="s">
        <v>31</v>
      </c>
      <c r="B42">
        <v>2023</v>
      </c>
      <c r="C42" t="s">
        <v>35</v>
      </c>
      <c r="D42">
        <v>173.7</v>
      </c>
      <c r="E42">
        <v>214.3</v>
      </c>
      <c r="F42">
        <v>173.2</v>
      </c>
      <c r="G42">
        <v>179.5</v>
      </c>
      <c r="H42">
        <v>170</v>
      </c>
      <c r="I42">
        <v>172.2</v>
      </c>
      <c r="J42">
        <v>161</v>
      </c>
      <c r="K42">
        <v>175.6</v>
      </c>
      <c r="L42">
        <v>122.7</v>
      </c>
      <c r="M42">
        <v>218</v>
      </c>
      <c r="N42">
        <v>173.4</v>
      </c>
      <c r="O42">
        <v>194.2</v>
      </c>
      <c r="P42">
        <v>179.1</v>
      </c>
    </row>
    <row r="45" spans="1:16" x14ac:dyDescent="0.25">
      <c r="B45" s="2" t="s">
        <v>67</v>
      </c>
      <c r="C45" s="2" t="s">
        <v>68</v>
      </c>
      <c r="D45" s="2" t="s">
        <v>69</v>
      </c>
      <c r="G45" s="47" t="s">
        <v>67</v>
      </c>
      <c r="H45" s="44" t="s">
        <v>69</v>
      </c>
    </row>
    <row r="46" spans="1:16" x14ac:dyDescent="0.25">
      <c r="B46" s="47">
        <v>44682</v>
      </c>
      <c r="C46" s="3">
        <f>AVERAGE(D6:P6)</f>
        <v>172.22307692307697</v>
      </c>
      <c r="D46" s="2"/>
      <c r="G46" s="47">
        <v>44682</v>
      </c>
      <c r="H46" s="44"/>
    </row>
    <row r="47" spans="1:16" x14ac:dyDescent="0.25">
      <c r="B47" s="47">
        <v>44713</v>
      </c>
      <c r="C47" s="3">
        <f>AVERAGE(D9:P9)</f>
        <v>173.99230769230769</v>
      </c>
      <c r="D47" s="48">
        <f>C47/C46-1</f>
        <v>1.0272901871454465E-2</v>
      </c>
      <c r="G47" s="47">
        <v>44713</v>
      </c>
      <c r="H47" s="44">
        <v>1.0272901871454465E-2</v>
      </c>
    </row>
    <row r="48" spans="1:16" x14ac:dyDescent="0.25">
      <c r="B48" s="47">
        <v>44743</v>
      </c>
      <c r="C48" s="3">
        <f>AVERAGE(D12:P12)</f>
        <v>174.33076923076925</v>
      </c>
      <c r="D48" s="44">
        <f t="shared" ref="D48:D58" si="0">C48/C47-1</f>
        <v>1.9452672531943271E-3</v>
      </c>
      <c r="G48" s="47">
        <v>44743</v>
      </c>
      <c r="H48" s="44">
        <v>1.9452672531943271E-3</v>
      </c>
    </row>
    <row r="49" spans="2:8" x14ac:dyDescent="0.25">
      <c r="B49" s="47">
        <v>44774</v>
      </c>
      <c r="C49" s="3">
        <f>AVERAGE(D15:P15)</f>
        <v>174.55384615384617</v>
      </c>
      <c r="D49" s="44">
        <f t="shared" si="0"/>
        <v>1.2796187618584476E-3</v>
      </c>
      <c r="G49" s="47">
        <v>44774</v>
      </c>
      <c r="H49" s="44">
        <v>1.2796187618584476E-3</v>
      </c>
    </row>
    <row r="50" spans="2:8" x14ac:dyDescent="0.25">
      <c r="B50" s="47">
        <v>44805</v>
      </c>
      <c r="C50" s="3">
        <f>AVERAGE(D18:P18)</f>
        <v>175.45384615384617</v>
      </c>
      <c r="D50" s="44">
        <f t="shared" si="0"/>
        <v>5.1560021152829982E-3</v>
      </c>
      <c r="G50" s="47">
        <v>44805</v>
      </c>
      <c r="H50" s="44">
        <v>5.1560021152829982E-3</v>
      </c>
    </row>
    <row r="51" spans="2:8" x14ac:dyDescent="0.25">
      <c r="B51" s="47">
        <v>44835</v>
      </c>
      <c r="C51" s="3">
        <f>AVERAGE(D21:P21)</f>
        <v>176.71538461538464</v>
      </c>
      <c r="D51" s="44">
        <f t="shared" si="0"/>
        <v>7.1901442413082606E-3</v>
      </c>
      <c r="G51" s="47">
        <v>44835</v>
      </c>
      <c r="H51" s="44">
        <v>7.1901442413082606E-3</v>
      </c>
    </row>
    <row r="52" spans="2:8" x14ac:dyDescent="0.25">
      <c r="B52" s="47">
        <v>44866</v>
      </c>
      <c r="C52" s="3">
        <f>AVERAGE(D24:P24)</f>
        <v>176.67692307692309</v>
      </c>
      <c r="D52" s="44">
        <f t="shared" si="0"/>
        <v>-2.1764680276847859E-4</v>
      </c>
      <c r="G52" s="47">
        <v>44866</v>
      </c>
      <c r="H52" s="44">
        <v>-2.1764680276847859E-4</v>
      </c>
    </row>
    <row r="53" spans="2:8" x14ac:dyDescent="0.25">
      <c r="B53" s="47">
        <v>44896</v>
      </c>
      <c r="C53" s="3">
        <f>AVERAGE(D27:P27)</f>
        <v>175.64615384615385</v>
      </c>
      <c r="D53" s="44">
        <f t="shared" si="0"/>
        <v>-5.8342041100661879E-3</v>
      </c>
      <c r="G53" s="47">
        <v>44896</v>
      </c>
      <c r="H53" s="44">
        <v>-5.8342041100661879E-3</v>
      </c>
    </row>
    <row r="54" spans="2:8" x14ac:dyDescent="0.25">
      <c r="B54" s="47">
        <v>44927</v>
      </c>
      <c r="C54" s="3">
        <f>AVERAGE(D30:P30)</f>
        <v>176.36153846153846</v>
      </c>
      <c r="D54" s="44">
        <f t="shared" si="0"/>
        <v>4.0728737847068874E-3</v>
      </c>
      <c r="G54" s="47">
        <v>44927</v>
      </c>
      <c r="H54" s="44">
        <v>4.0728737847068874E-3</v>
      </c>
    </row>
    <row r="55" spans="2:8" x14ac:dyDescent="0.25">
      <c r="B55" s="47">
        <v>44958</v>
      </c>
      <c r="C55" s="3">
        <f>AVERAGE(D33:P33)</f>
        <v>175.3153846153846</v>
      </c>
      <c r="D55" s="44">
        <f t="shared" si="0"/>
        <v>-5.9318707201116982E-3</v>
      </c>
      <c r="G55" s="47">
        <v>44958</v>
      </c>
      <c r="H55" s="44">
        <v>-5.9318707201116982E-3</v>
      </c>
    </row>
    <row r="56" spans="2:8" x14ac:dyDescent="0.25">
      <c r="B56" s="47">
        <v>44986</v>
      </c>
      <c r="C56" s="3">
        <f>AVERAGE(D36:P36)</f>
        <v>175.32307692307691</v>
      </c>
      <c r="D56" s="44">
        <f t="shared" si="0"/>
        <v>4.3876968979006392E-5</v>
      </c>
      <c r="G56" s="47">
        <v>44986</v>
      </c>
      <c r="H56" s="44">
        <v>4.3876968979006392E-5</v>
      </c>
    </row>
    <row r="57" spans="2:8" x14ac:dyDescent="0.25">
      <c r="B57" s="47">
        <v>45017</v>
      </c>
      <c r="C57" s="3">
        <f>AVERAGE(D39:P39)</f>
        <v>176.12307692307695</v>
      </c>
      <c r="D57" s="44">
        <f t="shared" si="0"/>
        <v>4.5630045630047356E-3</v>
      </c>
      <c r="G57" s="47">
        <v>45017</v>
      </c>
      <c r="H57" s="44">
        <v>4.5630045630047356E-3</v>
      </c>
    </row>
    <row r="58" spans="2:8" x14ac:dyDescent="0.25">
      <c r="B58" s="47">
        <v>45047</v>
      </c>
      <c r="C58" s="3">
        <f>AVERAGE(D42:P42)</f>
        <v>177.45384615384617</v>
      </c>
      <c r="D58" s="44">
        <f t="shared" si="0"/>
        <v>7.5559049615652185E-3</v>
      </c>
      <c r="G58" s="47">
        <v>45047</v>
      </c>
      <c r="H58" s="44">
        <v>7.5559049615652185E-3</v>
      </c>
    </row>
    <row r="61" spans="2:8" ht="26.25" x14ac:dyDescent="0.4">
      <c r="D61" s="49" t="s">
        <v>70</v>
      </c>
    </row>
    <row r="62" spans="2:8" x14ac:dyDescent="0.25">
      <c r="D62" t="s">
        <v>72</v>
      </c>
    </row>
    <row r="63" spans="2:8" x14ac:dyDescent="0.25">
      <c r="D63" t="s">
        <v>71</v>
      </c>
    </row>
    <row r="65" spans="2:4" ht="18.75" x14ac:dyDescent="0.3">
      <c r="B65" s="50" t="s">
        <v>73</v>
      </c>
    </row>
    <row r="67" spans="2:4" x14ac:dyDescent="0.25">
      <c r="B67" s="2" t="s">
        <v>74</v>
      </c>
      <c r="C67" s="2"/>
      <c r="D67" s="2" t="s">
        <v>76</v>
      </c>
    </row>
    <row r="68" spans="2:4" x14ac:dyDescent="0.25">
      <c r="B68" s="2" t="s">
        <v>7</v>
      </c>
      <c r="C68" s="2"/>
      <c r="D68" s="2">
        <f>H$42-H$6</f>
        <v>-32.400000000000006</v>
      </c>
    </row>
    <row r="69" spans="2:4" x14ac:dyDescent="0.25">
      <c r="B69" s="2" t="s">
        <v>9</v>
      </c>
      <c r="C69" s="2"/>
      <c r="D69" s="2">
        <f>J$42-J$6</f>
        <v>-13.900000000000006</v>
      </c>
    </row>
    <row r="70" spans="2:4" x14ac:dyDescent="0.25">
      <c r="B70" s="2" t="s">
        <v>4</v>
      </c>
      <c r="C70" s="2"/>
      <c r="D70" s="2">
        <f>E42-E6</f>
        <v>-2.6999999999999886</v>
      </c>
    </row>
    <row r="71" spans="2:4" x14ac:dyDescent="0.25">
      <c r="B71" s="2" t="s">
        <v>8</v>
      </c>
      <c r="C71" s="2"/>
      <c r="D71" s="2">
        <f>I42-I6</f>
        <v>1.1999999999999886</v>
      </c>
    </row>
    <row r="72" spans="2:4" x14ac:dyDescent="0.25">
      <c r="B72" s="2" t="s">
        <v>11</v>
      </c>
      <c r="C72" s="2"/>
      <c r="D72" s="2">
        <f>L42-L6</f>
        <v>3</v>
      </c>
    </row>
    <row r="73" spans="2:4" x14ac:dyDescent="0.25">
      <c r="B73" s="2" t="s">
        <v>14</v>
      </c>
      <c r="C73" s="2"/>
      <c r="D73" s="2">
        <f>P42-P6</f>
        <v>5.7999999999999829</v>
      </c>
    </row>
    <row r="74" spans="2:4" x14ac:dyDescent="0.25">
      <c r="B74" s="2" t="s">
        <v>13</v>
      </c>
      <c r="C74" s="2"/>
      <c r="D74" s="2">
        <v>6.3</v>
      </c>
    </row>
    <row r="75" spans="2:4" x14ac:dyDescent="0.25">
      <c r="B75" s="2" t="s">
        <v>5</v>
      </c>
      <c r="C75" s="2"/>
      <c r="D75" s="2">
        <v>10.8</v>
      </c>
    </row>
    <row r="76" spans="2:4" x14ac:dyDescent="0.25">
      <c r="B76" s="2" t="s">
        <v>10</v>
      </c>
      <c r="C76" s="2"/>
      <c r="D76" s="2">
        <v>10.9</v>
      </c>
    </row>
    <row r="77" spans="2:4" x14ac:dyDescent="0.25">
      <c r="B77" s="2" t="s">
        <v>75</v>
      </c>
      <c r="C77" s="2"/>
      <c r="D77" s="2">
        <v>11.7</v>
      </c>
    </row>
    <row r="78" spans="2:4" x14ac:dyDescent="0.25">
      <c r="B78" s="2" t="s">
        <v>6</v>
      </c>
      <c r="C78" s="2"/>
      <c r="D78" s="2">
        <v>14.6</v>
      </c>
    </row>
    <row r="79" spans="2:4" x14ac:dyDescent="0.25">
      <c r="B79" s="2" t="s">
        <v>3</v>
      </c>
      <c r="C79" s="2"/>
      <c r="D79" s="2">
        <v>19.600000000000001</v>
      </c>
    </row>
    <row r="80" spans="2:4" x14ac:dyDescent="0.25">
      <c r="B80" s="2" t="s">
        <v>12</v>
      </c>
      <c r="C80" s="2"/>
      <c r="D80" s="2">
        <v>33.1</v>
      </c>
    </row>
    <row r="81" spans="2:6" ht="26.25" x14ac:dyDescent="0.4">
      <c r="B81" s="2"/>
      <c r="C81" s="2"/>
      <c r="D81" s="2"/>
      <c r="F81" s="49" t="s">
        <v>59</v>
      </c>
    </row>
    <row r="82" spans="2:6" x14ac:dyDescent="0.25">
      <c r="F82" t="s">
        <v>77</v>
      </c>
    </row>
  </sheetData>
  <conditionalFormatting sqref="B45:D58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8C1E-A78D-46C8-A923-4A988AF2F393}">
  <dimension ref="A1:O28"/>
  <sheetViews>
    <sheetView topLeftCell="A10" workbookViewId="0">
      <selection activeCell="E28" sqref="E28:I28"/>
    </sheetView>
  </sheetViews>
  <sheetFormatPr defaultRowHeight="15" x14ac:dyDescent="0.25"/>
  <cols>
    <col min="4" max="4" width="15" style="1" customWidth="1"/>
    <col min="5" max="5" width="18.5703125" style="1" customWidth="1"/>
    <col min="6" max="6" width="26.140625" style="1" customWidth="1"/>
    <col min="7" max="7" width="9.140625" style="1"/>
    <col min="10" max="10" width="13.140625" customWidth="1"/>
    <col min="11" max="11" width="8.5703125" customWidth="1"/>
    <col min="12" max="12" width="16.42578125" customWidth="1"/>
  </cols>
  <sheetData>
    <row r="1" spans="1:15" x14ac:dyDescent="0.25">
      <c r="A1" t="s">
        <v>0</v>
      </c>
      <c r="B1" t="s">
        <v>1</v>
      </c>
      <c r="C1" t="s">
        <v>2</v>
      </c>
      <c r="D1" s="1" t="s">
        <v>47</v>
      </c>
      <c r="E1" s="1" t="s">
        <v>51</v>
      </c>
      <c r="F1" s="1" t="s">
        <v>49</v>
      </c>
      <c r="G1" s="1" t="s">
        <v>52</v>
      </c>
    </row>
    <row r="2" spans="1:15" x14ac:dyDescent="0.25">
      <c r="A2" t="s">
        <v>31</v>
      </c>
      <c r="B2">
        <v>2019</v>
      </c>
      <c r="C2" t="s">
        <v>33</v>
      </c>
      <c r="D2" s="1">
        <v>135.6076923076923</v>
      </c>
      <c r="E2" s="1">
        <v>139.27500000000001</v>
      </c>
      <c r="F2" s="1">
        <v>139.80000000000001</v>
      </c>
      <c r="G2" s="1">
        <f>SUM(Table5[[#This Row],[Food average]:[Healthcare and well being]])</f>
        <v>414.68269230769232</v>
      </c>
    </row>
    <row r="3" spans="1:15" x14ac:dyDescent="0.25">
      <c r="A3" t="s">
        <v>31</v>
      </c>
      <c r="B3">
        <v>2019</v>
      </c>
      <c r="C3" t="s">
        <v>35</v>
      </c>
      <c r="D3" s="1">
        <v>137.83846153846156</v>
      </c>
      <c r="E3" s="1">
        <v>139.75</v>
      </c>
      <c r="F3" s="1">
        <v>140.15</v>
      </c>
      <c r="G3" s="1">
        <f>SUM(Table5[[#This Row],[Food average]:[Healthcare and well being]])</f>
        <v>417.73846153846159</v>
      </c>
      <c r="J3" t="s">
        <v>85</v>
      </c>
    </row>
    <row r="4" spans="1:15" x14ac:dyDescent="0.25">
      <c r="A4" t="s">
        <v>31</v>
      </c>
      <c r="B4">
        <v>2019</v>
      </c>
      <c r="C4" t="s">
        <v>36</v>
      </c>
      <c r="D4" s="1">
        <v>139.54615384615386</v>
      </c>
      <c r="E4" s="1">
        <v>139.75</v>
      </c>
      <c r="F4" s="1">
        <v>140.85000000000002</v>
      </c>
      <c r="G4" s="1">
        <f>SUM(Table5[[#This Row],[Food average]:[Healthcare and well being]])</f>
        <v>420.14615384615388</v>
      </c>
    </row>
    <row r="5" spans="1:15" x14ac:dyDescent="0.25">
      <c r="A5" t="s">
        <v>31</v>
      </c>
      <c r="B5">
        <v>2019</v>
      </c>
      <c r="C5" t="s">
        <v>37</v>
      </c>
      <c r="D5" s="1">
        <v>141.34615384615384</v>
      </c>
      <c r="E5" s="1">
        <v>139.92499999999998</v>
      </c>
      <c r="F5" s="1">
        <v>141.80000000000001</v>
      </c>
      <c r="G5" s="1">
        <f>SUM(Table5[[#This Row],[Food average]:[Healthcare and well being]])</f>
        <v>423.07115384615383</v>
      </c>
      <c r="J5" s="2" t="s">
        <v>79</v>
      </c>
      <c r="K5" s="2" t="s">
        <v>80</v>
      </c>
      <c r="L5" s="2" t="s">
        <v>51</v>
      </c>
      <c r="M5" s="2" t="s">
        <v>49</v>
      </c>
      <c r="N5" s="2"/>
      <c r="O5" s="2"/>
    </row>
    <row r="6" spans="1:15" x14ac:dyDescent="0.25">
      <c r="A6" t="s">
        <v>31</v>
      </c>
      <c r="B6">
        <v>2019</v>
      </c>
      <c r="C6" t="s">
        <v>38</v>
      </c>
      <c r="D6" s="1">
        <v>142.03846153846155</v>
      </c>
      <c r="E6" s="1">
        <v>140.1</v>
      </c>
      <c r="F6" s="1">
        <v>143.44999999999999</v>
      </c>
      <c r="G6" s="1">
        <f>SUM(Table5[[#This Row],[Food average]:[Healthcare and well being]])</f>
        <v>425.58846153846156</v>
      </c>
      <c r="J6" s="2" t="s">
        <v>81</v>
      </c>
      <c r="K6" s="44">
        <f>D12/D2-1</f>
        <v>8.4349651143002857E-2</v>
      </c>
      <c r="L6" s="44">
        <f>E12/E2-1</f>
        <v>3.8772213247172838E-2</v>
      </c>
      <c r="M6" s="44">
        <f>F12/F2-1</f>
        <v>5.5436337625178744E-2</v>
      </c>
      <c r="N6" s="2"/>
      <c r="O6" s="2"/>
    </row>
    <row r="7" spans="1:15" x14ac:dyDescent="0.25">
      <c r="A7" t="s">
        <v>31</v>
      </c>
      <c r="B7">
        <v>2019</v>
      </c>
      <c r="C7" t="s">
        <v>39</v>
      </c>
      <c r="D7" s="1">
        <v>142.89999999999998</v>
      </c>
      <c r="E7" s="1">
        <v>140.52500000000001</v>
      </c>
      <c r="F7" s="1">
        <v>144.35</v>
      </c>
      <c r="G7" s="1">
        <f>SUM(Table5[[#This Row],[Food average]:[Healthcare and well being]])</f>
        <v>427.77499999999998</v>
      </c>
      <c r="J7" s="2" t="s">
        <v>82</v>
      </c>
      <c r="K7" s="44">
        <f>D24/D14-1</f>
        <v>4.6436451331520301E-2</v>
      </c>
      <c r="L7" s="44">
        <f>E24/E14-1</f>
        <v>6.3335068540690598E-2</v>
      </c>
      <c r="M7" s="44">
        <f>F24/F14-1</f>
        <v>7.2035338090384204E-2</v>
      </c>
      <c r="N7" s="2"/>
      <c r="O7" s="2"/>
    </row>
    <row r="8" spans="1:15" x14ac:dyDescent="0.25">
      <c r="A8" t="s">
        <v>31</v>
      </c>
      <c r="B8">
        <v>2019</v>
      </c>
      <c r="C8" t="s">
        <v>40</v>
      </c>
      <c r="D8" s="1">
        <v>145.04615384615383</v>
      </c>
      <c r="E8" s="1">
        <v>141.22499999999999</v>
      </c>
      <c r="F8" s="1">
        <v>144.69999999999999</v>
      </c>
      <c r="G8" s="1">
        <f>SUM(Table5[[#This Row],[Food average]:[Healthcare and well being]])</f>
        <v>430.97115384615381</v>
      </c>
    </row>
    <row r="9" spans="1:15" x14ac:dyDescent="0.25">
      <c r="A9" t="s">
        <v>31</v>
      </c>
      <c r="B9">
        <v>2019</v>
      </c>
      <c r="C9" t="s">
        <v>42</v>
      </c>
      <c r="D9" s="1">
        <v>146.99230769230769</v>
      </c>
      <c r="E9" s="1">
        <v>141.92500000000001</v>
      </c>
      <c r="F9" s="1">
        <v>145.10000000000002</v>
      </c>
      <c r="G9" s="1">
        <f>SUM(Table5[[#This Row],[Food average]:[Healthcare and well being]])</f>
        <v>434.01730769230772</v>
      </c>
    </row>
    <row r="10" spans="1:15" x14ac:dyDescent="0.25">
      <c r="A10" t="s">
        <v>31</v>
      </c>
      <c r="B10">
        <v>2019</v>
      </c>
      <c r="C10" t="s">
        <v>43</v>
      </c>
      <c r="D10" s="1">
        <v>149.70000000000002</v>
      </c>
      <c r="E10" s="1">
        <v>143.02500000000001</v>
      </c>
      <c r="F10" s="1">
        <v>145.4</v>
      </c>
      <c r="G10" s="1">
        <f>SUM(Table5[[#This Row],[Food average]:[Healthcare and well being]])</f>
        <v>438.125</v>
      </c>
    </row>
    <row r="11" spans="1:15" x14ac:dyDescent="0.25">
      <c r="A11" t="s">
        <v>31</v>
      </c>
      <c r="B11">
        <v>2020</v>
      </c>
      <c r="C11" t="s">
        <v>29</v>
      </c>
      <c r="D11" s="1">
        <v>149.26153846153846</v>
      </c>
      <c r="E11" s="1">
        <v>143.9</v>
      </c>
      <c r="F11" s="1">
        <v>146.75</v>
      </c>
      <c r="G11" s="1">
        <f>SUM(Table5[[#This Row],[Food average]:[Healthcare and well being]])</f>
        <v>439.9115384615385</v>
      </c>
    </row>
    <row r="12" spans="1:15" x14ac:dyDescent="0.25">
      <c r="A12" t="s">
        <v>31</v>
      </c>
      <c r="B12">
        <v>2020</v>
      </c>
      <c r="C12" t="s">
        <v>32</v>
      </c>
      <c r="D12" s="1">
        <v>147.04615384615383</v>
      </c>
      <c r="E12" s="1">
        <v>144.67500000000001</v>
      </c>
      <c r="F12" s="1">
        <v>147.55000000000001</v>
      </c>
      <c r="G12" s="1">
        <f>SUM(Table5[[#This Row],[Food average]:[Healthcare and well being]])</f>
        <v>439.27115384615382</v>
      </c>
    </row>
    <row r="13" spans="1:15" x14ac:dyDescent="0.25">
      <c r="A13" t="s">
        <v>31</v>
      </c>
      <c r="B13">
        <v>2020</v>
      </c>
      <c r="C13" t="s">
        <v>33</v>
      </c>
      <c r="D13" s="1">
        <v>145.80000000000001</v>
      </c>
      <c r="E13" s="1">
        <v>144.92499999999998</v>
      </c>
      <c r="F13" s="1">
        <v>148.75</v>
      </c>
      <c r="G13" s="1">
        <f>SUM(Table5[[#This Row],[Food average]:[Healthcare and well being]])</f>
        <v>439.47500000000002</v>
      </c>
    </row>
    <row r="14" spans="1:15" x14ac:dyDescent="0.25">
      <c r="A14" t="s">
        <v>31</v>
      </c>
      <c r="B14">
        <v>2020</v>
      </c>
      <c r="C14" t="s">
        <v>34</v>
      </c>
      <c r="D14" s="1">
        <v>149.91538461538462</v>
      </c>
      <c r="E14" s="1">
        <v>144.07499999999999</v>
      </c>
      <c r="F14" s="1">
        <v>147.14999999999998</v>
      </c>
      <c r="G14" s="1">
        <f>SUM(Table5[[#This Row],[Food average]:[Healthcare and well being]])</f>
        <v>441.14038461538462</v>
      </c>
    </row>
    <row r="15" spans="1:15" x14ac:dyDescent="0.25">
      <c r="A15" t="s">
        <v>31</v>
      </c>
      <c r="B15">
        <v>2020</v>
      </c>
      <c r="C15" t="s">
        <v>36</v>
      </c>
      <c r="D15" s="1">
        <v>151.2923076923077</v>
      </c>
      <c r="E15" s="1">
        <v>144.5</v>
      </c>
      <c r="F15" s="1">
        <v>153</v>
      </c>
      <c r="G15" s="1">
        <f>SUM(Table5[[#This Row],[Food average]:[Healthcare and well being]])</f>
        <v>448.7923076923077</v>
      </c>
    </row>
    <row r="16" spans="1:15" x14ac:dyDescent="0.25">
      <c r="A16" t="s">
        <v>31</v>
      </c>
      <c r="B16">
        <v>2020</v>
      </c>
      <c r="C16" t="s">
        <v>37</v>
      </c>
      <c r="D16" s="1">
        <v>151.2923076923077</v>
      </c>
      <c r="E16" s="1">
        <v>144.5</v>
      </c>
      <c r="F16" s="1">
        <v>153</v>
      </c>
      <c r="G16" s="1">
        <f>SUM(Table5[[#This Row],[Food average]:[Healthcare and well being]])</f>
        <v>448.7923076923077</v>
      </c>
    </row>
    <row r="17" spans="1:7" x14ac:dyDescent="0.25">
      <c r="A17" t="s">
        <v>31</v>
      </c>
      <c r="B17">
        <v>2020</v>
      </c>
      <c r="C17" t="s">
        <v>38</v>
      </c>
      <c r="D17" s="1">
        <v>153.47692307692307</v>
      </c>
      <c r="E17" s="1">
        <v>146.35</v>
      </c>
      <c r="F17" s="1">
        <v>154.65</v>
      </c>
      <c r="G17" s="1">
        <f>SUM(Table5[[#This Row],[Food average]:[Healthcare and well being]])</f>
        <v>454.47692307692307</v>
      </c>
    </row>
    <row r="18" spans="1:7" x14ac:dyDescent="0.25">
      <c r="A18" t="s">
        <v>31</v>
      </c>
      <c r="B18">
        <v>2020</v>
      </c>
      <c r="C18" t="s">
        <v>39</v>
      </c>
      <c r="D18" s="1">
        <v>154.38461538461539</v>
      </c>
      <c r="E18" s="1">
        <v>146.875</v>
      </c>
      <c r="F18" s="1">
        <v>157</v>
      </c>
      <c r="G18" s="1">
        <f>SUM(Table5[[#This Row],[Food average]:[Healthcare and well being]])</f>
        <v>458.25961538461536</v>
      </c>
    </row>
    <row r="19" spans="1:7" x14ac:dyDescent="0.25">
      <c r="A19" t="s">
        <v>31</v>
      </c>
      <c r="B19">
        <v>2020</v>
      </c>
      <c r="C19" t="s">
        <v>40</v>
      </c>
      <c r="D19" s="1">
        <v>157.5846153846154</v>
      </c>
      <c r="E19" s="1">
        <v>147.22499999999999</v>
      </c>
      <c r="F19" s="1">
        <v>156.65</v>
      </c>
      <c r="G19" s="1">
        <f>SUM(Table5[[#This Row],[Food average]:[Healthcare and well being]])</f>
        <v>461.4596153846154</v>
      </c>
    </row>
    <row r="20" spans="1:7" x14ac:dyDescent="0.25">
      <c r="A20" t="s">
        <v>31</v>
      </c>
      <c r="B20">
        <v>2020</v>
      </c>
      <c r="C20" t="s">
        <v>42</v>
      </c>
      <c r="D20" s="1">
        <v>161.19999999999999</v>
      </c>
      <c r="E20" s="1">
        <v>147.80000000000001</v>
      </c>
      <c r="F20" s="1">
        <v>157.05000000000001</v>
      </c>
      <c r="G20" s="1">
        <f>SUM(Table5[[#This Row],[Food average]:[Healthcare and well being]])</f>
        <v>466.05</v>
      </c>
    </row>
    <row r="21" spans="1:7" x14ac:dyDescent="0.25">
      <c r="A21" t="s">
        <v>31</v>
      </c>
      <c r="B21">
        <v>2020</v>
      </c>
      <c r="C21" t="s">
        <v>43</v>
      </c>
      <c r="D21" s="1">
        <v>162.23846153846154</v>
      </c>
      <c r="E21" s="1">
        <v>148.35</v>
      </c>
      <c r="F21" s="1">
        <v>157.69999999999999</v>
      </c>
      <c r="G21" s="1">
        <f>SUM(Table5[[#This Row],[Food average]:[Healthcare and well being]])</f>
        <v>468.28846153846149</v>
      </c>
    </row>
    <row r="22" spans="1:7" x14ac:dyDescent="0.25">
      <c r="A22" t="s">
        <v>31</v>
      </c>
      <c r="B22">
        <v>2021</v>
      </c>
      <c r="C22" t="s">
        <v>29</v>
      </c>
      <c r="D22" s="1">
        <v>159.73076923076923</v>
      </c>
      <c r="E22" s="1">
        <v>149.375</v>
      </c>
      <c r="F22" s="1">
        <v>158.05000000000001</v>
      </c>
      <c r="G22" s="1">
        <f>SUM(Table5[[#This Row],[Food average]:[Healthcare and well being]])</f>
        <v>467.15576923076924</v>
      </c>
    </row>
    <row r="23" spans="1:7" x14ac:dyDescent="0.25">
      <c r="A23" t="s">
        <v>31</v>
      </c>
      <c r="B23">
        <v>2021</v>
      </c>
      <c r="C23" t="s">
        <v>32</v>
      </c>
      <c r="D23" s="1">
        <v>156.8692307692308</v>
      </c>
      <c r="E23" s="1">
        <v>152.05000000000001</v>
      </c>
      <c r="F23" s="1">
        <v>158.55000000000001</v>
      </c>
      <c r="G23" s="1">
        <f>SUM(Table5[[#This Row],[Food average]:[Healthcare and well being]])</f>
        <v>467.46923076923082</v>
      </c>
    </row>
    <row r="24" spans="1:7" x14ac:dyDescent="0.25">
      <c r="A24" t="s">
        <v>31</v>
      </c>
      <c r="B24">
        <v>2021</v>
      </c>
      <c r="C24" t="s">
        <v>33</v>
      </c>
      <c r="D24" s="1">
        <v>156.87692307692308</v>
      </c>
      <c r="E24" s="1">
        <v>153.19999999999999</v>
      </c>
      <c r="F24" s="1">
        <v>157.75</v>
      </c>
      <c r="G24" s="1">
        <f>SUM(Table5[[#This Row],[Food average]:[Healthcare and well being]])</f>
        <v>467.82692307692309</v>
      </c>
    </row>
    <row r="27" spans="1:7" ht="26.25" x14ac:dyDescent="0.4">
      <c r="E27" s="51" t="s">
        <v>83</v>
      </c>
    </row>
    <row r="28" spans="1:7" x14ac:dyDescent="0.25">
      <c r="E28" s="1" t="s">
        <v>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B4C3-9B95-46C3-9AE4-39BA452B1622}">
  <dimension ref="B1:AB63"/>
  <sheetViews>
    <sheetView topLeftCell="A22" workbookViewId="0">
      <selection activeCell="L56" sqref="L56:U59"/>
    </sheetView>
  </sheetViews>
  <sheetFormatPr defaultRowHeight="15" x14ac:dyDescent="0.25"/>
  <cols>
    <col min="2" max="2" width="28.28515625" customWidth="1"/>
    <col min="3" max="3" width="24" customWidth="1"/>
    <col min="4" max="4" width="18.42578125" customWidth="1"/>
  </cols>
  <sheetData>
    <row r="1" spans="2:28" ht="23.25" x14ac:dyDescent="0.35">
      <c r="B1" s="57" t="s">
        <v>101</v>
      </c>
    </row>
    <row r="2" spans="2:28" x14ac:dyDescent="0.25">
      <c r="C2" t="s">
        <v>97</v>
      </c>
    </row>
    <row r="4" spans="2:28" ht="18.75" x14ac:dyDescent="0.3">
      <c r="D4" s="50" t="s">
        <v>96</v>
      </c>
      <c r="E4" s="1">
        <v>54.794569624999994</v>
      </c>
      <c r="F4" s="1">
        <v>61.216117289473672</v>
      </c>
      <c r="G4" s="1">
        <v>64.729496782608663</v>
      </c>
      <c r="H4" s="1">
        <v>63.396976500000008</v>
      </c>
      <c r="I4" s="1">
        <v>66.953084852941174</v>
      </c>
      <c r="J4" s="1">
        <v>71.982647477272721</v>
      </c>
      <c r="K4" s="1">
        <v>73.539060523809511</v>
      </c>
      <c r="L4" s="1">
        <v>69.804724424999989</v>
      </c>
      <c r="M4" s="1">
        <v>73.130738295454549</v>
      </c>
      <c r="N4" s="1">
        <v>82.107393785714294</v>
      </c>
      <c r="O4" s="1">
        <v>80.637301023809528</v>
      </c>
      <c r="P4" s="1">
        <v>73.298823523809531</v>
      </c>
      <c r="Q4" s="1">
        <v>84.666318799999985</v>
      </c>
      <c r="R4" s="1">
        <v>94.067715194444446</v>
      </c>
      <c r="S4" s="1">
        <v>112.87479254347826</v>
      </c>
      <c r="T4" s="1">
        <v>102.96599786842103</v>
      </c>
      <c r="U4" s="1">
        <v>109.50503773684208</v>
      </c>
      <c r="V4" s="1">
        <v>116.01138504999999</v>
      </c>
      <c r="W4" s="1">
        <v>105.49124737500001</v>
      </c>
      <c r="X4" s="1">
        <v>97.404465428571427</v>
      </c>
      <c r="Y4" s="1">
        <v>90.706344809523813</v>
      </c>
      <c r="Z4" s="1">
        <v>91.698948700000003</v>
      </c>
      <c r="AA4" s="1">
        <v>87.552266068181822</v>
      </c>
      <c r="AB4" s="1">
        <v>78.100942275000008</v>
      </c>
    </row>
    <row r="6" spans="2:28" x14ac:dyDescent="0.25">
      <c r="B6" s="53" t="s">
        <v>86</v>
      </c>
      <c r="C6" s="53" t="s">
        <v>87</v>
      </c>
      <c r="D6" s="53" t="s">
        <v>88</v>
      </c>
      <c r="E6" s="54">
        <v>44197</v>
      </c>
      <c r="F6" s="54">
        <v>44228</v>
      </c>
      <c r="G6" s="54">
        <v>44256</v>
      </c>
      <c r="H6" s="54">
        <v>44287</v>
      </c>
      <c r="I6" s="54">
        <v>44317</v>
      </c>
      <c r="J6" s="54">
        <v>44348</v>
      </c>
      <c r="K6" s="54">
        <v>44378</v>
      </c>
      <c r="L6" s="54">
        <v>44409</v>
      </c>
      <c r="M6" s="54">
        <v>44440</v>
      </c>
      <c r="N6" s="54">
        <v>44470</v>
      </c>
      <c r="O6" s="54">
        <v>44501</v>
      </c>
      <c r="P6" s="54">
        <v>44531</v>
      </c>
      <c r="Q6" s="54">
        <v>44562</v>
      </c>
      <c r="R6" s="54">
        <v>44593</v>
      </c>
      <c r="S6" s="54">
        <v>44621</v>
      </c>
      <c r="T6" s="54">
        <v>44652</v>
      </c>
      <c r="U6" s="54">
        <v>44682</v>
      </c>
      <c r="V6" s="54">
        <v>44713</v>
      </c>
      <c r="W6" s="54">
        <v>44743</v>
      </c>
      <c r="X6" s="54">
        <v>44774</v>
      </c>
      <c r="Y6" s="54">
        <v>44805</v>
      </c>
      <c r="Z6" s="54">
        <v>44835</v>
      </c>
      <c r="AA6" s="54">
        <v>44866</v>
      </c>
      <c r="AB6" s="54">
        <v>44896</v>
      </c>
    </row>
    <row r="7" spans="2:28" x14ac:dyDescent="0.25">
      <c r="B7" s="55" t="s">
        <v>3</v>
      </c>
      <c r="C7" s="2" t="s">
        <v>80</v>
      </c>
      <c r="D7" s="52">
        <f>CORREL(E7:AB7,$E$4:$AB$4)</f>
        <v>0.50782673928104072</v>
      </c>
      <c r="E7" s="2">
        <v>144.9</v>
      </c>
      <c r="F7" s="2">
        <v>144.30000000000001</v>
      </c>
      <c r="G7" s="2">
        <v>144.1</v>
      </c>
      <c r="H7" s="2">
        <v>144.30000000000001</v>
      </c>
      <c r="I7" s="2">
        <v>146.30000000000001</v>
      </c>
      <c r="J7" s="2">
        <v>146.69999999999999</v>
      </c>
      <c r="K7" s="2">
        <v>146.4</v>
      </c>
      <c r="L7" s="2">
        <v>146.6</v>
      </c>
      <c r="M7" s="2">
        <v>146.6</v>
      </c>
      <c r="N7" s="2">
        <v>147.4</v>
      </c>
      <c r="O7" s="2">
        <v>148.19999999999999</v>
      </c>
      <c r="P7" s="2">
        <v>148.69999999999999</v>
      </c>
      <c r="Q7" s="2">
        <v>149.5</v>
      </c>
      <c r="R7" s="2">
        <v>150</v>
      </c>
      <c r="S7" s="2">
        <v>151.30000000000001</v>
      </c>
      <c r="T7" s="2">
        <v>152.9</v>
      </c>
      <c r="U7" s="2">
        <v>154.1</v>
      </c>
      <c r="V7" s="2">
        <v>155</v>
      </c>
      <c r="W7" s="2">
        <v>156.5</v>
      </c>
      <c r="X7" s="2">
        <v>160.30000000000001</v>
      </c>
      <c r="Y7" s="2">
        <v>163.5</v>
      </c>
      <c r="Z7" s="2">
        <v>165.2</v>
      </c>
      <c r="AA7" s="2">
        <v>167.4</v>
      </c>
      <c r="AB7" s="2">
        <v>169.2</v>
      </c>
    </row>
    <row r="8" spans="2:28" x14ac:dyDescent="0.25">
      <c r="B8" s="55" t="s">
        <v>4</v>
      </c>
      <c r="C8" s="2" t="s">
        <v>80</v>
      </c>
      <c r="D8" s="52">
        <f t="shared" ref="D8:D33" si="0">CORREL(E8:AB8,$E$4:$AB$4)</f>
        <v>0.84191192019168415</v>
      </c>
      <c r="E8" s="2">
        <v>190.1</v>
      </c>
      <c r="F8" s="2">
        <v>186.5</v>
      </c>
      <c r="G8" s="2">
        <v>192.2</v>
      </c>
      <c r="H8" s="2">
        <v>198</v>
      </c>
      <c r="I8" s="2">
        <v>200.5</v>
      </c>
      <c r="J8" s="2">
        <v>202</v>
      </c>
      <c r="K8" s="2">
        <v>206.8</v>
      </c>
      <c r="L8" s="2">
        <v>204</v>
      </c>
      <c r="M8" s="2">
        <v>204</v>
      </c>
      <c r="N8" s="2">
        <v>204.6</v>
      </c>
      <c r="O8" s="2">
        <v>201.6</v>
      </c>
      <c r="P8" s="2">
        <v>198.8</v>
      </c>
      <c r="Q8" s="2">
        <v>198.7</v>
      </c>
      <c r="R8" s="2">
        <v>200.6</v>
      </c>
      <c r="S8" s="2">
        <v>210.7</v>
      </c>
      <c r="T8" s="2">
        <v>211.8</v>
      </c>
      <c r="U8" s="2">
        <v>217</v>
      </c>
      <c r="V8" s="2">
        <v>219.4</v>
      </c>
      <c r="W8" s="2">
        <v>213</v>
      </c>
      <c r="X8" s="2">
        <v>206.5</v>
      </c>
      <c r="Y8" s="2">
        <v>209.2</v>
      </c>
      <c r="Z8" s="2">
        <v>210.9</v>
      </c>
      <c r="AA8" s="2">
        <v>209.4</v>
      </c>
      <c r="AB8" s="2">
        <v>209</v>
      </c>
    </row>
    <row r="9" spans="2:28" x14ac:dyDescent="0.25">
      <c r="B9" s="55" t="s">
        <v>5</v>
      </c>
      <c r="C9" s="2" t="s">
        <v>80</v>
      </c>
      <c r="D9" s="52">
        <f t="shared" si="0"/>
        <v>-0.2036224701816976</v>
      </c>
      <c r="E9" s="2">
        <v>175.3</v>
      </c>
      <c r="F9" s="2">
        <v>168.7</v>
      </c>
      <c r="G9" s="2">
        <v>163.80000000000001</v>
      </c>
      <c r="H9" s="2">
        <v>164.6</v>
      </c>
      <c r="I9" s="2">
        <v>170.3</v>
      </c>
      <c r="J9" s="2">
        <v>180.7</v>
      </c>
      <c r="K9" s="2">
        <v>182.2</v>
      </c>
      <c r="L9" s="2">
        <v>172.8</v>
      </c>
      <c r="M9" s="2">
        <v>172.8</v>
      </c>
      <c r="N9" s="2">
        <v>171.2</v>
      </c>
      <c r="O9" s="2">
        <v>173</v>
      </c>
      <c r="P9" s="2">
        <v>177.9</v>
      </c>
      <c r="Q9" s="2">
        <v>178.8</v>
      </c>
      <c r="R9" s="2">
        <v>175.8</v>
      </c>
      <c r="S9" s="2">
        <v>167.8</v>
      </c>
      <c r="T9" s="2">
        <v>164.5</v>
      </c>
      <c r="U9" s="2">
        <v>162.4</v>
      </c>
      <c r="V9" s="2">
        <v>170.8</v>
      </c>
      <c r="W9" s="2">
        <v>175.2</v>
      </c>
      <c r="X9" s="2">
        <v>169.2</v>
      </c>
      <c r="Y9" s="2">
        <v>169.7</v>
      </c>
      <c r="Z9" s="2">
        <v>170.9</v>
      </c>
      <c r="AA9" s="2">
        <v>181.4</v>
      </c>
      <c r="AB9" s="2">
        <v>190.2</v>
      </c>
    </row>
    <row r="10" spans="2:28" x14ac:dyDescent="0.25">
      <c r="B10" s="55" t="s">
        <v>6</v>
      </c>
      <c r="C10" s="2" t="s">
        <v>80</v>
      </c>
      <c r="D10" s="52">
        <f t="shared" si="0"/>
        <v>0.63436438765675618</v>
      </c>
      <c r="E10" s="2">
        <v>154.1</v>
      </c>
      <c r="F10" s="2">
        <v>154.69999999999999</v>
      </c>
      <c r="G10" s="2">
        <v>154.9</v>
      </c>
      <c r="H10" s="2">
        <v>155.4</v>
      </c>
      <c r="I10" s="2">
        <v>156.1</v>
      </c>
      <c r="J10" s="2">
        <v>156.19999999999999</v>
      </c>
      <c r="K10" s="2">
        <v>157.5</v>
      </c>
      <c r="L10" s="2">
        <v>158.4</v>
      </c>
      <c r="M10" s="2">
        <v>158.4</v>
      </c>
      <c r="N10" s="2">
        <v>158.69999999999999</v>
      </c>
      <c r="O10" s="2">
        <v>159.30000000000001</v>
      </c>
      <c r="P10" s="2">
        <v>159.9</v>
      </c>
      <c r="Q10" s="2">
        <v>160.5</v>
      </c>
      <c r="R10" s="2">
        <v>160.69999999999999</v>
      </c>
      <c r="S10" s="2">
        <v>162.19999999999999</v>
      </c>
      <c r="T10" s="2">
        <v>163.9</v>
      </c>
      <c r="U10" s="2">
        <v>164.9</v>
      </c>
      <c r="V10" s="2">
        <v>165.8</v>
      </c>
      <c r="W10" s="2">
        <v>166.6</v>
      </c>
      <c r="X10" s="2">
        <v>168.1</v>
      </c>
      <c r="Y10" s="2">
        <v>169.7</v>
      </c>
      <c r="Z10" s="2">
        <v>170.9</v>
      </c>
      <c r="AA10" s="2">
        <v>172.3</v>
      </c>
      <c r="AB10" s="2">
        <v>173.6</v>
      </c>
    </row>
    <row r="11" spans="2:28" x14ac:dyDescent="0.25">
      <c r="B11" s="55" t="s">
        <v>7</v>
      </c>
      <c r="C11" s="2" t="s">
        <v>80</v>
      </c>
      <c r="D11" s="52">
        <f t="shared" si="0"/>
        <v>0.82620259475660895</v>
      </c>
      <c r="E11" s="2">
        <v>150.9</v>
      </c>
      <c r="F11" s="2">
        <v>158.69999999999999</v>
      </c>
      <c r="G11" s="2">
        <v>163.9</v>
      </c>
      <c r="H11" s="2">
        <v>170.1</v>
      </c>
      <c r="I11" s="2">
        <v>178.7</v>
      </c>
      <c r="J11" s="2">
        <v>183.7</v>
      </c>
      <c r="K11" s="2">
        <v>182.1</v>
      </c>
      <c r="L11" s="2">
        <v>188</v>
      </c>
      <c r="M11" s="2">
        <v>188</v>
      </c>
      <c r="N11" s="2">
        <v>190.6</v>
      </c>
      <c r="O11" s="2">
        <v>190.1</v>
      </c>
      <c r="P11" s="2">
        <v>187.6</v>
      </c>
      <c r="Q11" s="2">
        <v>184.7</v>
      </c>
      <c r="R11" s="2">
        <v>184.9</v>
      </c>
      <c r="S11" s="2">
        <v>194.6</v>
      </c>
      <c r="T11" s="2">
        <v>199.5</v>
      </c>
      <c r="U11" s="2">
        <v>202.4</v>
      </c>
      <c r="V11" s="2">
        <v>200.9</v>
      </c>
      <c r="W11" s="2">
        <v>195.8</v>
      </c>
      <c r="X11" s="2">
        <v>192.4</v>
      </c>
      <c r="Y11" s="2">
        <v>188.7</v>
      </c>
      <c r="Z11" s="2">
        <v>186.5</v>
      </c>
      <c r="AA11" s="2">
        <v>188.9</v>
      </c>
      <c r="AB11" s="2">
        <v>188.5</v>
      </c>
    </row>
    <row r="12" spans="2:28" x14ac:dyDescent="0.25">
      <c r="B12" s="55" t="s">
        <v>8</v>
      </c>
      <c r="C12" s="2" t="s">
        <v>80</v>
      </c>
      <c r="D12" s="52">
        <f t="shared" si="0"/>
        <v>0.59139323105135344</v>
      </c>
      <c r="E12" s="2">
        <v>149.6</v>
      </c>
      <c r="F12" s="2">
        <v>150.69999999999999</v>
      </c>
      <c r="G12" s="2">
        <v>153.69999999999999</v>
      </c>
      <c r="H12" s="2">
        <v>164.4</v>
      </c>
      <c r="I12" s="2">
        <v>167.1</v>
      </c>
      <c r="J12" s="2">
        <v>164.6</v>
      </c>
      <c r="K12" s="2">
        <v>163.9</v>
      </c>
      <c r="L12" s="2">
        <v>156.80000000000001</v>
      </c>
      <c r="M12" s="2">
        <v>156.69999999999999</v>
      </c>
      <c r="N12" s="2">
        <v>155.69999999999999</v>
      </c>
      <c r="O12" s="2">
        <v>156.5</v>
      </c>
      <c r="P12" s="2">
        <v>154.9</v>
      </c>
      <c r="Q12" s="2">
        <v>153.69999999999999</v>
      </c>
      <c r="R12" s="2">
        <v>153.69999999999999</v>
      </c>
      <c r="S12" s="2">
        <v>157.6</v>
      </c>
      <c r="T12" s="2">
        <v>172.6</v>
      </c>
      <c r="U12" s="2">
        <v>171</v>
      </c>
      <c r="V12" s="2">
        <v>169.7</v>
      </c>
      <c r="W12" s="2">
        <v>174.2</v>
      </c>
      <c r="X12" s="2">
        <v>172.9</v>
      </c>
      <c r="Y12" s="2">
        <v>165.7</v>
      </c>
      <c r="Z12" s="2">
        <v>163.80000000000001</v>
      </c>
      <c r="AA12" s="2">
        <v>160.69999999999999</v>
      </c>
      <c r="AB12" s="2">
        <v>158</v>
      </c>
    </row>
    <row r="13" spans="2:28" x14ac:dyDescent="0.25">
      <c r="B13" s="55" t="s">
        <v>9</v>
      </c>
      <c r="C13" s="2" t="s">
        <v>80</v>
      </c>
      <c r="D13" s="52">
        <f t="shared" si="0"/>
        <v>0.35074653398470973</v>
      </c>
      <c r="E13" s="2">
        <v>194.2</v>
      </c>
      <c r="F13" s="2">
        <v>160</v>
      </c>
      <c r="G13" s="2">
        <v>149.5</v>
      </c>
      <c r="H13" s="2">
        <v>144.1</v>
      </c>
      <c r="I13" s="2">
        <v>147.9</v>
      </c>
      <c r="J13" s="2">
        <v>155.4</v>
      </c>
      <c r="K13" s="2">
        <v>164.2</v>
      </c>
      <c r="L13" s="2">
        <v>162.19999999999999</v>
      </c>
      <c r="M13" s="2">
        <v>162.30000000000001</v>
      </c>
      <c r="N13" s="2">
        <v>185.3</v>
      </c>
      <c r="O13" s="2">
        <v>199.2</v>
      </c>
      <c r="P13" s="2">
        <v>188.3</v>
      </c>
      <c r="Q13" s="2">
        <v>174.3</v>
      </c>
      <c r="R13" s="2">
        <v>169.7</v>
      </c>
      <c r="S13" s="2">
        <v>166.9</v>
      </c>
      <c r="T13" s="2">
        <v>166.2</v>
      </c>
      <c r="U13" s="2">
        <v>174.9</v>
      </c>
      <c r="V13" s="2">
        <v>182.3</v>
      </c>
      <c r="W13" s="2">
        <v>182.1</v>
      </c>
      <c r="X13" s="2">
        <v>186.7</v>
      </c>
      <c r="Y13" s="2">
        <v>191.8</v>
      </c>
      <c r="Z13" s="2">
        <v>199.7</v>
      </c>
      <c r="AA13" s="2">
        <v>183.1</v>
      </c>
      <c r="AB13" s="2">
        <v>159.9</v>
      </c>
    </row>
    <row r="14" spans="2:28" x14ac:dyDescent="0.25">
      <c r="B14" s="55" t="s">
        <v>10</v>
      </c>
      <c r="C14" s="2" t="s">
        <v>80</v>
      </c>
      <c r="D14" s="52">
        <f t="shared" si="0"/>
        <v>0.36427003644529937</v>
      </c>
      <c r="E14" s="2">
        <v>160.4</v>
      </c>
      <c r="F14" s="2">
        <v>158.80000000000001</v>
      </c>
      <c r="G14" s="2">
        <v>159.80000000000001</v>
      </c>
      <c r="H14" s="2">
        <v>161.69999999999999</v>
      </c>
      <c r="I14" s="2">
        <v>165.4</v>
      </c>
      <c r="J14" s="2">
        <v>166</v>
      </c>
      <c r="K14" s="2">
        <v>164</v>
      </c>
      <c r="L14" s="2">
        <v>164.1</v>
      </c>
      <c r="M14" s="2">
        <v>164.1</v>
      </c>
      <c r="N14" s="2">
        <v>165.2</v>
      </c>
      <c r="O14" s="2">
        <v>165.3</v>
      </c>
      <c r="P14" s="2">
        <v>164.4</v>
      </c>
      <c r="Q14" s="2">
        <v>163.9</v>
      </c>
      <c r="R14" s="2">
        <v>163.69999999999999</v>
      </c>
      <c r="S14" s="2">
        <v>163.9</v>
      </c>
      <c r="T14" s="2">
        <v>164.7</v>
      </c>
      <c r="U14" s="2">
        <v>164.7</v>
      </c>
      <c r="V14" s="2">
        <v>164.3</v>
      </c>
      <c r="W14" s="2">
        <v>164.3</v>
      </c>
      <c r="X14" s="2">
        <v>167.2</v>
      </c>
      <c r="Y14" s="2">
        <v>169.1</v>
      </c>
      <c r="Z14" s="2">
        <v>169.8</v>
      </c>
      <c r="AA14" s="2">
        <v>170.5</v>
      </c>
      <c r="AB14" s="2">
        <v>170.8</v>
      </c>
    </row>
    <row r="15" spans="2:28" x14ac:dyDescent="0.25">
      <c r="B15" s="55" t="s">
        <v>11</v>
      </c>
      <c r="C15" s="2" t="s">
        <v>80</v>
      </c>
      <c r="D15" s="52">
        <f t="shared" si="0"/>
        <v>0.56709729181669644</v>
      </c>
      <c r="E15" s="2">
        <v>114.6</v>
      </c>
      <c r="F15" s="2">
        <v>112.8</v>
      </c>
      <c r="G15" s="2">
        <v>112.6</v>
      </c>
      <c r="H15" s="2">
        <v>113.1</v>
      </c>
      <c r="I15" s="2">
        <v>114.8</v>
      </c>
      <c r="J15" s="2">
        <v>115.1</v>
      </c>
      <c r="K15" s="2">
        <v>114.5</v>
      </c>
      <c r="L15" s="2">
        <v>119.7</v>
      </c>
      <c r="M15" s="2">
        <v>119.7</v>
      </c>
      <c r="N15" s="2">
        <v>121.9</v>
      </c>
      <c r="O15" s="2">
        <v>122.4</v>
      </c>
      <c r="P15" s="2">
        <v>121</v>
      </c>
      <c r="Q15" s="2">
        <v>120</v>
      </c>
      <c r="R15" s="2">
        <v>118.9</v>
      </c>
      <c r="S15" s="2">
        <v>118.8</v>
      </c>
      <c r="T15" s="2">
        <v>119</v>
      </c>
      <c r="U15" s="2">
        <v>119.7</v>
      </c>
      <c r="V15" s="2">
        <v>119.9</v>
      </c>
      <c r="W15" s="2">
        <v>120</v>
      </c>
      <c r="X15" s="2">
        <v>120.9</v>
      </c>
      <c r="Y15" s="2">
        <v>121.6</v>
      </c>
      <c r="Z15" s="2">
        <v>121.9</v>
      </c>
      <c r="AA15" s="2">
        <v>122.1</v>
      </c>
      <c r="AB15" s="2">
        <v>121.8</v>
      </c>
    </row>
    <row r="16" spans="2:28" x14ac:dyDescent="0.25">
      <c r="B16" s="55" t="s">
        <v>12</v>
      </c>
      <c r="C16" s="2" t="s">
        <v>80</v>
      </c>
      <c r="D16" s="52">
        <f t="shared" si="0"/>
        <v>0.59053727341757856</v>
      </c>
      <c r="E16" s="2">
        <v>164</v>
      </c>
      <c r="F16" s="2">
        <v>164.2</v>
      </c>
      <c r="G16" s="2">
        <v>163.5</v>
      </c>
      <c r="H16" s="2">
        <v>163.9</v>
      </c>
      <c r="I16" s="2">
        <v>168.2</v>
      </c>
      <c r="J16" s="2">
        <v>168.5</v>
      </c>
      <c r="K16" s="2">
        <v>168.3</v>
      </c>
      <c r="L16" s="2">
        <v>168.8</v>
      </c>
      <c r="M16" s="2">
        <v>168.8</v>
      </c>
      <c r="N16" s="2">
        <v>169.3</v>
      </c>
      <c r="O16" s="2">
        <v>169.6</v>
      </c>
      <c r="P16" s="2">
        <v>170.5</v>
      </c>
      <c r="Q16" s="2">
        <v>172.1</v>
      </c>
      <c r="R16" s="2">
        <v>174.3</v>
      </c>
      <c r="S16" s="2">
        <v>177.4</v>
      </c>
      <c r="T16" s="2">
        <v>181.3</v>
      </c>
      <c r="U16" s="2">
        <v>184.9</v>
      </c>
      <c r="V16" s="2">
        <v>187.1</v>
      </c>
      <c r="W16" s="2">
        <v>190</v>
      </c>
      <c r="X16" s="2">
        <v>193.6</v>
      </c>
      <c r="Y16" s="2">
        <v>197.3</v>
      </c>
      <c r="Z16" s="2">
        <v>199.9</v>
      </c>
      <c r="AA16" s="2">
        <v>202.8</v>
      </c>
      <c r="AB16" s="2">
        <v>205.2</v>
      </c>
    </row>
    <row r="17" spans="2:28" x14ac:dyDescent="0.25">
      <c r="B17" s="55" t="s">
        <v>13</v>
      </c>
      <c r="C17" s="2" t="s">
        <v>80</v>
      </c>
      <c r="D17" s="52">
        <f t="shared" si="0"/>
        <v>0.75260403886846317</v>
      </c>
      <c r="E17" s="2">
        <v>151.80000000000001</v>
      </c>
      <c r="F17" s="2">
        <v>155.5</v>
      </c>
      <c r="G17" s="2">
        <v>156.5</v>
      </c>
      <c r="H17" s="2">
        <v>157.6</v>
      </c>
      <c r="I17" s="2">
        <v>159.30000000000001</v>
      </c>
      <c r="J17" s="2">
        <v>160</v>
      </c>
      <c r="K17" s="2">
        <v>160.9</v>
      </c>
      <c r="L17" s="2">
        <v>162.69999999999999</v>
      </c>
      <c r="M17" s="2">
        <v>162.69999999999999</v>
      </c>
      <c r="N17" s="2">
        <v>163.19999999999999</v>
      </c>
      <c r="O17" s="2">
        <v>163.69999999999999</v>
      </c>
      <c r="P17" s="2">
        <v>164.2</v>
      </c>
      <c r="Q17" s="2">
        <v>164.3</v>
      </c>
      <c r="R17" s="2">
        <v>164.7</v>
      </c>
      <c r="S17" s="2">
        <v>165.3</v>
      </c>
      <c r="T17" s="2">
        <v>166.2</v>
      </c>
      <c r="U17" s="2">
        <v>167.1</v>
      </c>
      <c r="V17" s="2">
        <v>167.9</v>
      </c>
      <c r="W17" s="2">
        <v>168.4</v>
      </c>
      <c r="X17" s="2">
        <v>168.8</v>
      </c>
      <c r="Y17" s="2">
        <v>169.4</v>
      </c>
      <c r="Z17" s="2">
        <v>169.9</v>
      </c>
      <c r="AA17" s="2">
        <v>170.4</v>
      </c>
      <c r="AB17" s="2">
        <v>171</v>
      </c>
    </row>
    <row r="18" spans="2:28" x14ac:dyDescent="0.25">
      <c r="B18" s="55" t="s">
        <v>75</v>
      </c>
      <c r="C18" s="2" t="s">
        <v>80</v>
      </c>
      <c r="D18" s="52">
        <f t="shared" si="0"/>
        <v>0.71816936627720163</v>
      </c>
      <c r="E18" s="2">
        <v>165.6</v>
      </c>
      <c r="F18" s="2">
        <v>167.5</v>
      </c>
      <c r="G18" s="2">
        <v>168.2</v>
      </c>
      <c r="H18" s="2">
        <v>168.9</v>
      </c>
      <c r="I18" s="2">
        <v>170.4</v>
      </c>
      <c r="J18" s="2">
        <v>172.4</v>
      </c>
      <c r="K18" s="2">
        <v>172.2</v>
      </c>
      <c r="L18" s="2">
        <v>173.9</v>
      </c>
      <c r="M18" s="2">
        <v>173.9</v>
      </c>
      <c r="N18" s="2">
        <v>174.7</v>
      </c>
      <c r="O18" s="2">
        <v>175.5</v>
      </c>
      <c r="P18" s="2">
        <v>176.5</v>
      </c>
      <c r="Q18" s="2">
        <v>177.3</v>
      </c>
      <c r="R18" s="2">
        <v>178</v>
      </c>
      <c r="S18" s="2">
        <v>179.3</v>
      </c>
      <c r="T18" s="2">
        <v>180.9</v>
      </c>
      <c r="U18" s="2">
        <v>182.5</v>
      </c>
      <c r="V18" s="2">
        <v>183.9</v>
      </c>
      <c r="W18" s="2">
        <v>185.2</v>
      </c>
      <c r="X18" s="2">
        <v>186.3</v>
      </c>
      <c r="Y18" s="2">
        <v>187.4</v>
      </c>
      <c r="Z18" s="2">
        <v>188.3</v>
      </c>
      <c r="AA18" s="2">
        <v>189.5</v>
      </c>
      <c r="AB18" s="2">
        <v>190.3</v>
      </c>
    </row>
    <row r="19" spans="2:28" x14ac:dyDescent="0.25">
      <c r="B19" s="55" t="s">
        <v>14</v>
      </c>
      <c r="C19" s="2" t="s">
        <v>80</v>
      </c>
      <c r="D19" s="52">
        <f t="shared" si="0"/>
        <v>0.71771593094288821</v>
      </c>
      <c r="E19" s="2">
        <v>161</v>
      </c>
      <c r="F19" s="2">
        <v>156.9</v>
      </c>
      <c r="G19" s="2">
        <v>156.69999999999999</v>
      </c>
      <c r="H19" s="2">
        <v>158</v>
      </c>
      <c r="I19" s="2">
        <v>160.69999999999999</v>
      </c>
      <c r="J19" s="2">
        <v>162.6</v>
      </c>
      <c r="K19" s="2">
        <v>164</v>
      </c>
      <c r="L19" s="2">
        <v>164</v>
      </c>
      <c r="M19" s="2">
        <v>164</v>
      </c>
      <c r="N19" s="2">
        <v>167.7</v>
      </c>
      <c r="O19" s="2">
        <v>169.7</v>
      </c>
      <c r="P19" s="2">
        <v>168.2</v>
      </c>
      <c r="Q19" s="2">
        <v>166.4</v>
      </c>
      <c r="R19" s="2">
        <v>166.2</v>
      </c>
      <c r="S19" s="2">
        <v>168.4</v>
      </c>
      <c r="T19" s="2">
        <v>170.8</v>
      </c>
      <c r="U19" s="2">
        <v>173.3</v>
      </c>
      <c r="V19" s="2">
        <v>174.9</v>
      </c>
      <c r="W19" s="2">
        <v>175</v>
      </c>
      <c r="X19" s="2">
        <v>176.3</v>
      </c>
      <c r="Y19" s="2">
        <v>177.8</v>
      </c>
      <c r="Z19" s="2">
        <v>179.6</v>
      </c>
      <c r="AA19" s="2">
        <v>178.3</v>
      </c>
      <c r="AB19" s="2">
        <v>175.9</v>
      </c>
    </row>
    <row r="20" spans="2:28" x14ac:dyDescent="0.25">
      <c r="B20" s="55" t="s">
        <v>15</v>
      </c>
      <c r="C20" s="2" t="s">
        <v>89</v>
      </c>
      <c r="D20" s="52">
        <f t="shared" si="0"/>
        <v>0.68867161411370348</v>
      </c>
      <c r="E20" s="2">
        <v>186.5</v>
      </c>
      <c r="F20" s="2">
        <v>188.3</v>
      </c>
      <c r="G20" s="2">
        <v>188.1</v>
      </c>
      <c r="H20" s="2">
        <v>188.8</v>
      </c>
      <c r="I20" s="2">
        <v>191.9</v>
      </c>
      <c r="J20" s="2">
        <v>190.8</v>
      </c>
      <c r="K20" s="2">
        <v>191.2</v>
      </c>
      <c r="L20" s="2">
        <v>192.1</v>
      </c>
      <c r="M20" s="2">
        <v>192.1</v>
      </c>
      <c r="N20" s="2">
        <v>192.7</v>
      </c>
      <c r="O20" s="2">
        <v>192.9</v>
      </c>
      <c r="P20" s="2">
        <v>192.4</v>
      </c>
      <c r="Q20" s="2">
        <v>192.2</v>
      </c>
      <c r="R20" s="2">
        <v>192.8</v>
      </c>
      <c r="S20" s="2">
        <v>193.7</v>
      </c>
      <c r="T20" s="2">
        <v>193.9</v>
      </c>
      <c r="U20" s="2">
        <v>194.1</v>
      </c>
      <c r="V20" s="2">
        <v>194.3</v>
      </c>
      <c r="W20" s="2">
        <v>194.6</v>
      </c>
      <c r="X20" s="2">
        <v>195</v>
      </c>
      <c r="Y20" s="2">
        <v>195.9</v>
      </c>
      <c r="Z20" s="2">
        <v>196.3</v>
      </c>
      <c r="AA20" s="2">
        <v>196.9</v>
      </c>
      <c r="AB20" s="2">
        <v>197.3</v>
      </c>
    </row>
    <row r="21" spans="2:28" x14ac:dyDescent="0.25">
      <c r="B21" s="55" t="s">
        <v>16</v>
      </c>
      <c r="C21" s="2" t="s">
        <v>90</v>
      </c>
      <c r="D21" s="52">
        <f t="shared" si="0"/>
        <v>0.73718735666666269</v>
      </c>
      <c r="E21" s="2">
        <v>155.5</v>
      </c>
      <c r="F21" s="2">
        <v>157.19999999999999</v>
      </c>
      <c r="G21" s="2">
        <v>157.80000000000001</v>
      </c>
      <c r="H21" s="2">
        <v>158.80000000000001</v>
      </c>
      <c r="I21" s="2">
        <v>161.80000000000001</v>
      </c>
      <c r="J21" s="2">
        <v>162.19999999999999</v>
      </c>
      <c r="K21" s="2">
        <v>162.80000000000001</v>
      </c>
      <c r="L21" s="2">
        <v>164.5</v>
      </c>
      <c r="M21" s="2">
        <v>164.6</v>
      </c>
      <c r="N21" s="2">
        <v>165.7</v>
      </c>
      <c r="O21" s="2">
        <v>167.2</v>
      </c>
      <c r="P21" s="2">
        <v>168.5</v>
      </c>
      <c r="Q21" s="2">
        <v>169.9</v>
      </c>
      <c r="R21" s="2">
        <v>170.8</v>
      </c>
      <c r="S21" s="2">
        <v>172.1</v>
      </c>
      <c r="T21" s="2">
        <v>173.9</v>
      </c>
      <c r="U21" s="2">
        <v>175.6</v>
      </c>
      <c r="V21" s="2">
        <v>177.1</v>
      </c>
      <c r="W21" s="2">
        <v>178.3</v>
      </c>
      <c r="X21" s="2">
        <v>179.5</v>
      </c>
      <c r="Y21" s="2">
        <v>180.9</v>
      </c>
      <c r="Z21" s="2">
        <v>181.9</v>
      </c>
      <c r="AA21" s="2">
        <v>183.1</v>
      </c>
      <c r="AB21" s="2">
        <v>184</v>
      </c>
    </row>
    <row r="22" spans="2:28" x14ac:dyDescent="0.25">
      <c r="B22" s="55" t="s">
        <v>17</v>
      </c>
      <c r="C22" s="2" t="s">
        <v>90</v>
      </c>
      <c r="D22" s="52">
        <f t="shared" si="0"/>
        <v>0.74869562674882939</v>
      </c>
      <c r="E22" s="2">
        <v>146.1</v>
      </c>
      <c r="F22" s="2">
        <v>147.4</v>
      </c>
      <c r="G22" s="2">
        <v>147.9</v>
      </c>
      <c r="H22" s="2">
        <v>148.5</v>
      </c>
      <c r="I22" s="2">
        <v>152.1</v>
      </c>
      <c r="J22" s="2">
        <v>151.80000000000001</v>
      </c>
      <c r="K22" s="2">
        <v>153.1</v>
      </c>
      <c r="L22" s="2">
        <v>155.30000000000001</v>
      </c>
      <c r="M22" s="2">
        <v>155.30000000000001</v>
      </c>
      <c r="N22" s="2">
        <v>156.30000000000001</v>
      </c>
      <c r="O22" s="2">
        <v>157.4</v>
      </c>
      <c r="P22" s="2">
        <v>158.69999999999999</v>
      </c>
      <c r="Q22" s="2">
        <v>160.69999999999999</v>
      </c>
      <c r="R22" s="2">
        <v>162.4</v>
      </c>
      <c r="S22" s="2">
        <v>164.6</v>
      </c>
      <c r="T22" s="2">
        <v>166.5</v>
      </c>
      <c r="U22" s="2">
        <v>168.4</v>
      </c>
      <c r="V22" s="2">
        <v>169.9</v>
      </c>
      <c r="W22" s="2">
        <v>171.3</v>
      </c>
      <c r="X22" s="2">
        <v>172.7</v>
      </c>
      <c r="Y22" s="2">
        <v>174.3</v>
      </c>
      <c r="Z22" s="2">
        <v>175.3</v>
      </c>
      <c r="AA22" s="2">
        <v>176.2</v>
      </c>
      <c r="AB22" s="2">
        <v>177</v>
      </c>
    </row>
    <row r="23" spans="2:28" x14ac:dyDescent="0.25">
      <c r="B23" s="55" t="s">
        <v>18</v>
      </c>
      <c r="C23" s="2" t="s">
        <v>90</v>
      </c>
      <c r="D23" s="52">
        <f t="shared" si="0"/>
        <v>0.7393580301817575</v>
      </c>
      <c r="E23" s="2">
        <v>154.19999999999999</v>
      </c>
      <c r="F23" s="2">
        <v>155.80000000000001</v>
      </c>
      <c r="G23" s="2">
        <v>156.4</v>
      </c>
      <c r="H23" s="2">
        <v>157.30000000000001</v>
      </c>
      <c r="I23" s="2">
        <v>160.4</v>
      </c>
      <c r="J23" s="2">
        <v>160.69999999999999</v>
      </c>
      <c r="K23" s="2">
        <v>161.4</v>
      </c>
      <c r="L23" s="2">
        <v>163.19999999999999</v>
      </c>
      <c r="M23" s="2">
        <v>163.30000000000001</v>
      </c>
      <c r="N23" s="2">
        <v>164.3</v>
      </c>
      <c r="O23" s="2">
        <v>165.8</v>
      </c>
      <c r="P23" s="2">
        <v>167</v>
      </c>
      <c r="Q23" s="2">
        <v>168.5</v>
      </c>
      <c r="R23" s="2">
        <v>169.6</v>
      </c>
      <c r="S23" s="2">
        <v>171.1</v>
      </c>
      <c r="T23" s="2">
        <v>172.8</v>
      </c>
      <c r="U23" s="2">
        <v>174.6</v>
      </c>
      <c r="V23" s="2">
        <v>176</v>
      </c>
      <c r="W23" s="2">
        <v>177.3</v>
      </c>
      <c r="X23" s="2">
        <v>178.5</v>
      </c>
      <c r="Y23" s="2">
        <v>179.9</v>
      </c>
      <c r="Z23" s="2">
        <v>181</v>
      </c>
      <c r="AA23" s="2">
        <v>182.1</v>
      </c>
      <c r="AB23" s="2">
        <v>183</v>
      </c>
    </row>
    <row r="24" spans="2:28" x14ac:dyDescent="0.25">
      <c r="B24" s="55" t="s">
        <v>19</v>
      </c>
      <c r="C24" s="2" t="s">
        <v>91</v>
      </c>
      <c r="D24" s="52">
        <f t="shared" si="0"/>
        <v>0.69787802521406628</v>
      </c>
      <c r="E24" s="2">
        <v>157.69999999999999</v>
      </c>
      <c r="F24" s="2">
        <v>159.80000000000001</v>
      </c>
      <c r="G24" s="2">
        <v>159.9</v>
      </c>
      <c r="H24" s="2">
        <v>161.4</v>
      </c>
      <c r="I24" s="2">
        <v>161.6</v>
      </c>
      <c r="J24" s="2">
        <v>160.5</v>
      </c>
      <c r="K24" s="2">
        <v>161.5</v>
      </c>
      <c r="L24" s="2">
        <v>162.1</v>
      </c>
      <c r="M24" s="2">
        <v>162.1</v>
      </c>
      <c r="N24" s="2">
        <v>163.6</v>
      </c>
      <c r="O24" s="2">
        <v>164.2</v>
      </c>
      <c r="P24" s="2">
        <v>163.4</v>
      </c>
      <c r="Q24" s="2">
        <v>164.5</v>
      </c>
      <c r="R24" s="2">
        <v>165.5</v>
      </c>
      <c r="S24" s="2">
        <v>165.3</v>
      </c>
      <c r="T24" s="2">
        <v>167</v>
      </c>
      <c r="U24" s="2">
        <v>167.5</v>
      </c>
      <c r="V24" s="2">
        <v>166.8</v>
      </c>
      <c r="W24" s="2">
        <v>167.8</v>
      </c>
      <c r="X24" s="2">
        <v>169</v>
      </c>
      <c r="Y24" s="2">
        <v>169.5</v>
      </c>
      <c r="Z24" s="2">
        <v>171.2</v>
      </c>
      <c r="AA24" s="2">
        <v>171.8</v>
      </c>
      <c r="AB24" s="2">
        <v>170.7</v>
      </c>
    </row>
    <row r="25" spans="2:28" x14ac:dyDescent="0.25">
      <c r="B25" s="55" t="s">
        <v>20</v>
      </c>
      <c r="C25" s="2" t="s">
        <v>91</v>
      </c>
      <c r="D25" s="52">
        <f t="shared" si="0"/>
        <v>0.73695384515053841</v>
      </c>
      <c r="E25" s="2">
        <v>147.9</v>
      </c>
      <c r="F25" s="2">
        <v>152.4</v>
      </c>
      <c r="G25" s="2">
        <v>155.5</v>
      </c>
      <c r="H25" s="2">
        <v>155.6</v>
      </c>
      <c r="I25" s="2">
        <v>159.4</v>
      </c>
      <c r="J25" s="2">
        <v>159.80000000000001</v>
      </c>
      <c r="K25" s="2">
        <v>160.69999999999999</v>
      </c>
      <c r="L25" s="2">
        <v>162.6</v>
      </c>
      <c r="M25" s="2">
        <v>162.6</v>
      </c>
      <c r="N25" s="2">
        <v>164.2</v>
      </c>
      <c r="O25" s="2">
        <v>163.9</v>
      </c>
      <c r="P25" s="2">
        <v>164.1</v>
      </c>
      <c r="Q25" s="2">
        <v>164.2</v>
      </c>
      <c r="R25" s="2">
        <v>165.7</v>
      </c>
      <c r="S25" s="2">
        <v>167.2</v>
      </c>
      <c r="T25" s="2">
        <v>172.2</v>
      </c>
      <c r="U25" s="2">
        <v>174.6</v>
      </c>
      <c r="V25" s="2">
        <v>176</v>
      </c>
      <c r="W25" s="2">
        <v>179.6</v>
      </c>
      <c r="X25" s="2">
        <v>178.8</v>
      </c>
      <c r="Y25" s="2">
        <v>179.5</v>
      </c>
      <c r="Z25" s="2">
        <v>180.5</v>
      </c>
      <c r="AA25" s="2">
        <v>181.3</v>
      </c>
      <c r="AB25" s="2">
        <v>182</v>
      </c>
    </row>
    <row r="26" spans="2:28" x14ac:dyDescent="0.25">
      <c r="B26" s="55" t="s">
        <v>21</v>
      </c>
      <c r="C26" s="2" t="s">
        <v>91</v>
      </c>
      <c r="D26" s="52">
        <f t="shared" si="0"/>
        <v>0.73037374022525769</v>
      </c>
      <c r="E26" s="2">
        <v>150</v>
      </c>
      <c r="F26" s="2">
        <v>150.9</v>
      </c>
      <c r="G26" s="2">
        <v>151.19999999999999</v>
      </c>
      <c r="H26" s="2">
        <v>151.80000000000001</v>
      </c>
      <c r="I26" s="2">
        <v>154.69999999999999</v>
      </c>
      <c r="J26" s="2">
        <v>154.80000000000001</v>
      </c>
      <c r="K26" s="2">
        <v>155.80000000000001</v>
      </c>
      <c r="L26" s="2">
        <v>157.5</v>
      </c>
      <c r="M26" s="2">
        <v>157.5</v>
      </c>
      <c r="N26" s="2">
        <v>158.4</v>
      </c>
      <c r="O26" s="2">
        <v>159.30000000000001</v>
      </c>
      <c r="P26" s="2">
        <v>160.19999999999999</v>
      </c>
      <c r="Q26" s="2">
        <v>161.1</v>
      </c>
      <c r="R26" s="2">
        <v>161.80000000000001</v>
      </c>
      <c r="S26" s="2">
        <v>162.80000000000001</v>
      </c>
      <c r="T26" s="2">
        <v>164</v>
      </c>
      <c r="U26" s="2">
        <v>165.2</v>
      </c>
      <c r="V26" s="2">
        <v>166.4</v>
      </c>
      <c r="W26" s="2">
        <v>167.4</v>
      </c>
      <c r="X26" s="2">
        <v>168.5</v>
      </c>
      <c r="Y26" s="2">
        <v>169.5</v>
      </c>
      <c r="Z26" s="2">
        <v>170.4</v>
      </c>
      <c r="AA26" s="2">
        <v>171.4</v>
      </c>
      <c r="AB26" s="2">
        <v>172.1</v>
      </c>
    </row>
    <row r="27" spans="2:28" x14ac:dyDescent="0.25">
      <c r="B27" s="55" t="s">
        <v>22</v>
      </c>
      <c r="C27" s="2" t="s">
        <v>92</v>
      </c>
      <c r="D27" s="52">
        <f t="shared" si="0"/>
        <v>0.73881995293995806</v>
      </c>
      <c r="E27" s="2">
        <v>159.30000000000001</v>
      </c>
      <c r="F27" s="2">
        <v>161.30000000000001</v>
      </c>
      <c r="G27" s="2">
        <v>161.69999999999999</v>
      </c>
      <c r="H27" s="2">
        <v>162.30000000000001</v>
      </c>
      <c r="I27" s="2">
        <v>165.8</v>
      </c>
      <c r="J27" s="2">
        <v>166.3</v>
      </c>
      <c r="K27" s="2">
        <v>167</v>
      </c>
      <c r="L27" s="2">
        <v>168.4</v>
      </c>
      <c r="M27" s="2">
        <v>168.4</v>
      </c>
      <c r="N27" s="2">
        <v>169.1</v>
      </c>
      <c r="O27" s="2">
        <v>169.9</v>
      </c>
      <c r="P27" s="2">
        <v>170.6</v>
      </c>
      <c r="Q27" s="2">
        <v>171.4</v>
      </c>
      <c r="R27" s="2">
        <v>172.2</v>
      </c>
      <c r="S27" s="2">
        <v>173</v>
      </c>
      <c r="T27" s="2">
        <v>174</v>
      </c>
      <c r="U27" s="2">
        <v>174.8</v>
      </c>
      <c r="V27" s="2">
        <v>175.4</v>
      </c>
      <c r="W27" s="2">
        <v>176.1</v>
      </c>
      <c r="X27" s="2">
        <v>176.8</v>
      </c>
      <c r="Y27" s="2">
        <v>177.8</v>
      </c>
      <c r="Z27" s="2">
        <v>178.7</v>
      </c>
      <c r="AA27" s="2">
        <v>179.8</v>
      </c>
      <c r="AB27" s="2">
        <v>181.1</v>
      </c>
    </row>
    <row r="28" spans="2:28" x14ac:dyDescent="0.25">
      <c r="B28" s="55" t="s">
        <v>23</v>
      </c>
      <c r="C28" s="2" t="s">
        <v>91</v>
      </c>
      <c r="D28" s="52">
        <f t="shared" si="0"/>
        <v>0.81520166268737893</v>
      </c>
      <c r="E28" s="2">
        <v>141.9</v>
      </c>
      <c r="F28" s="2">
        <v>145.1</v>
      </c>
      <c r="G28" s="2">
        <v>146.19999999999999</v>
      </c>
      <c r="H28" s="2">
        <v>146.6</v>
      </c>
      <c r="I28" s="2">
        <v>148.9</v>
      </c>
      <c r="J28" s="2">
        <v>150.69999999999999</v>
      </c>
      <c r="K28" s="2">
        <v>153.1</v>
      </c>
      <c r="L28" s="2">
        <v>154</v>
      </c>
      <c r="M28" s="2">
        <v>154</v>
      </c>
      <c r="N28" s="2">
        <v>155.69999999999999</v>
      </c>
      <c r="O28" s="2">
        <v>154.80000000000001</v>
      </c>
      <c r="P28" s="2">
        <v>155.69999999999999</v>
      </c>
      <c r="Q28" s="2">
        <v>156.5</v>
      </c>
      <c r="R28" s="2">
        <v>156.9</v>
      </c>
      <c r="S28" s="2">
        <v>157.9</v>
      </c>
      <c r="T28" s="2">
        <v>162.6</v>
      </c>
      <c r="U28" s="2">
        <v>163</v>
      </c>
      <c r="V28" s="2">
        <v>161.1</v>
      </c>
      <c r="W28" s="2">
        <v>161.6</v>
      </c>
      <c r="X28" s="2">
        <v>161.9</v>
      </c>
      <c r="Y28" s="2">
        <v>162.30000000000001</v>
      </c>
      <c r="Z28" s="2">
        <v>162.9</v>
      </c>
      <c r="AA28" s="2">
        <v>163</v>
      </c>
      <c r="AB28" s="2">
        <v>163.4</v>
      </c>
    </row>
    <row r="29" spans="2:28" x14ac:dyDescent="0.25">
      <c r="B29" s="55" t="s">
        <v>24</v>
      </c>
      <c r="C29" s="2" t="s">
        <v>93</v>
      </c>
      <c r="D29" s="52">
        <f t="shared" si="0"/>
        <v>0.78563045522865071</v>
      </c>
      <c r="E29" s="2">
        <v>149.6</v>
      </c>
      <c r="F29" s="2">
        <v>151.5</v>
      </c>
      <c r="G29" s="2">
        <v>152.6</v>
      </c>
      <c r="H29" s="2">
        <v>153.19999999999999</v>
      </c>
      <c r="I29" s="2">
        <v>155.80000000000001</v>
      </c>
      <c r="J29" s="2">
        <v>154.9</v>
      </c>
      <c r="K29" s="2">
        <v>155.30000000000001</v>
      </c>
      <c r="L29" s="2">
        <v>157.6</v>
      </c>
      <c r="M29" s="2">
        <v>157.69999999999999</v>
      </c>
      <c r="N29" s="2">
        <v>158.6</v>
      </c>
      <c r="O29" s="2">
        <v>159.80000000000001</v>
      </c>
      <c r="P29" s="2">
        <v>160.6</v>
      </c>
      <c r="Q29" s="2">
        <v>161.19999999999999</v>
      </c>
      <c r="R29" s="2">
        <v>162.1</v>
      </c>
      <c r="S29" s="2">
        <v>163.30000000000001</v>
      </c>
      <c r="T29" s="2">
        <v>164.4</v>
      </c>
      <c r="U29" s="2">
        <v>165.1</v>
      </c>
      <c r="V29" s="2">
        <v>165.8</v>
      </c>
      <c r="W29" s="2">
        <v>166.3</v>
      </c>
      <c r="X29" s="2">
        <v>166.9</v>
      </c>
      <c r="Y29" s="2">
        <v>167.6</v>
      </c>
      <c r="Z29" s="2">
        <v>168.2</v>
      </c>
      <c r="AA29" s="2">
        <v>168.5</v>
      </c>
      <c r="AB29" s="2">
        <v>168.9</v>
      </c>
    </row>
    <row r="30" spans="2:28" x14ac:dyDescent="0.25">
      <c r="B30" s="55" t="s">
        <v>25</v>
      </c>
      <c r="C30" s="2" t="s">
        <v>25</v>
      </c>
      <c r="D30" s="52">
        <f t="shared" si="0"/>
        <v>0.65313864265722477</v>
      </c>
      <c r="E30" s="2">
        <v>159.19999999999999</v>
      </c>
      <c r="F30" s="2">
        <v>159.5</v>
      </c>
      <c r="G30" s="2">
        <v>160.19999999999999</v>
      </c>
      <c r="H30" s="2">
        <v>160.30000000000001</v>
      </c>
      <c r="I30" s="2">
        <v>161.19999999999999</v>
      </c>
      <c r="J30" s="2">
        <v>161.69999999999999</v>
      </c>
      <c r="K30" s="2">
        <v>163.19999999999999</v>
      </c>
      <c r="L30" s="2">
        <v>163.80000000000001</v>
      </c>
      <c r="M30" s="2">
        <v>163.69999999999999</v>
      </c>
      <c r="N30" s="2">
        <v>163.9</v>
      </c>
      <c r="O30" s="2">
        <v>164.3</v>
      </c>
      <c r="P30" s="2">
        <v>164.4</v>
      </c>
      <c r="Q30" s="2">
        <v>164.7</v>
      </c>
      <c r="R30" s="2">
        <v>165.4</v>
      </c>
      <c r="S30" s="2">
        <v>166</v>
      </c>
      <c r="T30" s="2">
        <v>166.9</v>
      </c>
      <c r="U30" s="2">
        <v>167.9</v>
      </c>
      <c r="V30" s="2">
        <v>169</v>
      </c>
      <c r="W30" s="2">
        <v>171.4</v>
      </c>
      <c r="X30" s="2">
        <v>172.3</v>
      </c>
      <c r="Y30" s="2">
        <v>173.1</v>
      </c>
      <c r="Z30" s="2">
        <v>173.4</v>
      </c>
      <c r="AA30" s="2">
        <v>173.7</v>
      </c>
      <c r="AB30" s="2">
        <v>174.1</v>
      </c>
    </row>
    <row r="31" spans="2:28" x14ac:dyDescent="0.25">
      <c r="B31" s="55" t="s">
        <v>94</v>
      </c>
      <c r="C31" s="2" t="s">
        <v>92</v>
      </c>
      <c r="D31" s="52">
        <f t="shared" si="0"/>
        <v>0.73372084561697026</v>
      </c>
      <c r="E31" s="2">
        <v>156.80000000000001</v>
      </c>
      <c r="F31" s="2">
        <v>155.80000000000001</v>
      </c>
      <c r="G31" s="2">
        <v>153.80000000000001</v>
      </c>
      <c r="H31" s="2">
        <v>155.4</v>
      </c>
      <c r="I31" s="2">
        <v>158.6</v>
      </c>
      <c r="J31" s="2">
        <v>158.80000000000001</v>
      </c>
      <c r="K31" s="2">
        <v>160.1</v>
      </c>
      <c r="L31" s="2">
        <v>160</v>
      </c>
      <c r="M31" s="2">
        <v>160</v>
      </c>
      <c r="N31" s="2">
        <v>160.80000000000001</v>
      </c>
      <c r="O31" s="2">
        <v>162.19999999999999</v>
      </c>
      <c r="P31" s="2">
        <v>162.6</v>
      </c>
      <c r="Q31" s="2">
        <v>163</v>
      </c>
      <c r="R31" s="2">
        <v>164.4</v>
      </c>
      <c r="S31" s="2">
        <v>167.2</v>
      </c>
      <c r="T31" s="2">
        <v>168.8</v>
      </c>
      <c r="U31" s="2">
        <v>168.4</v>
      </c>
      <c r="V31" s="2">
        <v>169.4</v>
      </c>
      <c r="W31" s="2">
        <v>169.7</v>
      </c>
      <c r="X31" s="2">
        <v>171.2</v>
      </c>
      <c r="Y31" s="2">
        <v>170.9</v>
      </c>
      <c r="Z31" s="2">
        <v>172.1</v>
      </c>
      <c r="AA31" s="2">
        <v>173.6</v>
      </c>
      <c r="AB31" s="2">
        <v>175.8</v>
      </c>
    </row>
    <row r="32" spans="2:28" x14ac:dyDescent="0.25">
      <c r="B32" s="55" t="s">
        <v>26</v>
      </c>
      <c r="C32" s="2" t="s">
        <v>26</v>
      </c>
      <c r="D32" s="52">
        <f t="shared" si="0"/>
        <v>0.76560004102965407</v>
      </c>
      <c r="E32" s="2">
        <v>151.9</v>
      </c>
      <c r="F32" s="2">
        <v>153.4</v>
      </c>
      <c r="G32" s="2">
        <v>153.80000000000001</v>
      </c>
      <c r="H32" s="2">
        <v>154.4</v>
      </c>
      <c r="I32" s="2">
        <v>156.80000000000001</v>
      </c>
      <c r="J32" s="2">
        <v>157.6</v>
      </c>
      <c r="K32" s="2">
        <v>159</v>
      </c>
      <c r="L32" s="2">
        <v>160</v>
      </c>
      <c r="M32" s="2">
        <v>160</v>
      </c>
      <c r="N32" s="2">
        <v>161</v>
      </c>
      <c r="O32" s="2">
        <v>161.4</v>
      </c>
      <c r="P32" s="2">
        <v>162</v>
      </c>
      <c r="Q32" s="2">
        <v>162.69999999999999</v>
      </c>
      <c r="R32" s="2">
        <v>163.5</v>
      </c>
      <c r="S32" s="2">
        <v>164.6</v>
      </c>
      <c r="T32" s="2">
        <v>166.8</v>
      </c>
      <c r="U32" s="2">
        <v>167.5</v>
      </c>
      <c r="V32" s="2">
        <v>167.5</v>
      </c>
      <c r="W32" s="2">
        <v>168.4</v>
      </c>
      <c r="X32" s="2">
        <v>169.1</v>
      </c>
      <c r="Y32" s="2">
        <v>169.7</v>
      </c>
      <c r="Z32" s="2">
        <v>170.5</v>
      </c>
      <c r="AA32" s="2">
        <v>171.1</v>
      </c>
      <c r="AB32" s="2">
        <v>172</v>
      </c>
    </row>
    <row r="33" spans="2:28" x14ac:dyDescent="0.25">
      <c r="B33" s="55" t="s">
        <v>27</v>
      </c>
      <c r="C33" s="2" t="s">
        <v>95</v>
      </c>
      <c r="D33" s="52">
        <f t="shared" si="0"/>
        <v>0.74098995346190499</v>
      </c>
      <c r="E33" s="2">
        <v>157.30000000000001</v>
      </c>
      <c r="F33" s="2">
        <v>156.6</v>
      </c>
      <c r="G33" s="2">
        <v>156.80000000000001</v>
      </c>
      <c r="H33" s="2">
        <v>157.80000000000001</v>
      </c>
      <c r="I33" s="2">
        <v>160.4</v>
      </c>
      <c r="J33" s="2">
        <v>161.30000000000001</v>
      </c>
      <c r="K33" s="2">
        <v>162.5</v>
      </c>
      <c r="L33" s="2">
        <v>163.19999999999999</v>
      </c>
      <c r="M33" s="2">
        <v>163.19999999999999</v>
      </c>
      <c r="N33" s="2">
        <v>165.5</v>
      </c>
      <c r="O33" s="2">
        <v>166.7</v>
      </c>
      <c r="P33" s="2">
        <v>166.2</v>
      </c>
      <c r="Q33" s="2">
        <v>165.7</v>
      </c>
      <c r="R33" s="2">
        <v>166.1</v>
      </c>
      <c r="S33" s="2">
        <v>167.7</v>
      </c>
      <c r="T33" s="2">
        <v>170.1</v>
      </c>
      <c r="U33" s="2">
        <v>171.7</v>
      </c>
      <c r="V33" s="2">
        <v>172.6</v>
      </c>
      <c r="W33" s="2">
        <v>173.4</v>
      </c>
      <c r="X33" s="2">
        <v>174.3</v>
      </c>
      <c r="Y33" s="2">
        <v>175.3</v>
      </c>
      <c r="Z33" s="2">
        <v>176.7</v>
      </c>
      <c r="AA33" s="2">
        <v>176.5</v>
      </c>
      <c r="AB33" s="2">
        <v>175.7</v>
      </c>
    </row>
    <row r="36" spans="2:28" x14ac:dyDescent="0.25">
      <c r="B36" s="59" t="s">
        <v>98</v>
      </c>
      <c r="C36" s="59" t="s">
        <v>99</v>
      </c>
    </row>
    <row r="37" spans="2:28" x14ac:dyDescent="0.25">
      <c r="B37" s="58" t="s">
        <v>4</v>
      </c>
      <c r="C37" s="52">
        <v>0.84191192019168415</v>
      </c>
    </row>
    <row r="38" spans="2:28" ht="21" x14ac:dyDescent="0.35">
      <c r="B38" s="58" t="s">
        <v>7</v>
      </c>
      <c r="C38" s="52">
        <v>0.82620259475660895</v>
      </c>
      <c r="F38" s="56" t="s">
        <v>83</v>
      </c>
    </row>
    <row r="39" spans="2:28" x14ac:dyDescent="0.25">
      <c r="B39" s="58" t="s">
        <v>23</v>
      </c>
      <c r="C39" s="52">
        <v>0.81520166268737893</v>
      </c>
      <c r="G39" t="s">
        <v>100</v>
      </c>
    </row>
    <row r="40" spans="2:28" x14ac:dyDescent="0.25">
      <c r="B40" s="58" t="s">
        <v>24</v>
      </c>
      <c r="C40" s="52">
        <v>0.78563045522865071</v>
      </c>
      <c r="G40" t="s">
        <v>106</v>
      </c>
    </row>
    <row r="41" spans="2:28" x14ac:dyDescent="0.25">
      <c r="B41" s="58" t="s">
        <v>26</v>
      </c>
      <c r="C41" s="52">
        <v>0.76560004102965407</v>
      </c>
    </row>
    <row r="42" spans="2:28" x14ac:dyDescent="0.25">
      <c r="B42" s="58" t="s">
        <v>13</v>
      </c>
      <c r="C42" s="52">
        <v>0.75260403886846317</v>
      </c>
    </row>
    <row r="43" spans="2:28" x14ac:dyDescent="0.25">
      <c r="B43" s="58" t="s">
        <v>17</v>
      </c>
      <c r="C43" s="52">
        <v>0.74869562674882939</v>
      </c>
    </row>
    <row r="44" spans="2:28" x14ac:dyDescent="0.25">
      <c r="B44" s="58" t="s">
        <v>27</v>
      </c>
      <c r="C44" s="52">
        <v>0.74098995346190499</v>
      </c>
    </row>
    <row r="45" spans="2:28" x14ac:dyDescent="0.25">
      <c r="B45" s="58" t="s">
        <v>18</v>
      </c>
      <c r="C45" s="52">
        <v>0.7393580301817575</v>
      </c>
    </row>
    <row r="46" spans="2:28" x14ac:dyDescent="0.25">
      <c r="B46" s="58" t="s">
        <v>22</v>
      </c>
      <c r="C46" s="52">
        <v>0.73881995293995806</v>
      </c>
    </row>
    <row r="47" spans="2:28" x14ac:dyDescent="0.25">
      <c r="B47" s="58" t="s">
        <v>16</v>
      </c>
      <c r="C47" s="52">
        <v>0.73718735666666269</v>
      </c>
    </row>
    <row r="48" spans="2:28" x14ac:dyDescent="0.25">
      <c r="B48" s="58" t="s">
        <v>20</v>
      </c>
      <c r="C48" s="52">
        <v>0.73695384515053841</v>
      </c>
    </row>
    <row r="49" spans="2:3" x14ac:dyDescent="0.25">
      <c r="B49" s="58" t="s">
        <v>94</v>
      </c>
      <c r="C49" s="52">
        <v>0.73372084561697026</v>
      </c>
    </row>
    <row r="50" spans="2:3" x14ac:dyDescent="0.25">
      <c r="B50" s="58" t="s">
        <v>21</v>
      </c>
      <c r="C50" s="52">
        <v>0.73037374022525769</v>
      </c>
    </row>
    <row r="51" spans="2:3" x14ac:dyDescent="0.25">
      <c r="B51" s="58" t="s">
        <v>75</v>
      </c>
      <c r="C51" s="52">
        <v>0.71816936627720163</v>
      </c>
    </row>
    <row r="52" spans="2:3" x14ac:dyDescent="0.25">
      <c r="B52" s="58" t="s">
        <v>14</v>
      </c>
      <c r="C52" s="52">
        <v>0.71771593094288821</v>
      </c>
    </row>
    <row r="53" spans="2:3" x14ac:dyDescent="0.25">
      <c r="B53" s="58" t="s">
        <v>19</v>
      </c>
      <c r="C53" s="52">
        <v>0.69787802521406628</v>
      </c>
    </row>
    <row r="54" spans="2:3" x14ac:dyDescent="0.25">
      <c r="B54" s="58" t="s">
        <v>15</v>
      </c>
      <c r="C54" s="52">
        <v>0.68867161411370348</v>
      </c>
    </row>
    <row r="55" spans="2:3" x14ac:dyDescent="0.25">
      <c r="B55" s="58" t="s">
        <v>25</v>
      </c>
      <c r="C55" s="52">
        <v>0.65313864265722477</v>
      </c>
    </row>
    <row r="56" spans="2:3" x14ac:dyDescent="0.25">
      <c r="B56" s="58" t="s">
        <v>6</v>
      </c>
      <c r="C56" s="52">
        <v>0.63436438765675618</v>
      </c>
    </row>
    <row r="57" spans="2:3" x14ac:dyDescent="0.25">
      <c r="B57" s="58" t="s">
        <v>8</v>
      </c>
      <c r="C57" s="52">
        <v>0.59139323105135344</v>
      </c>
    </row>
    <row r="58" spans="2:3" x14ac:dyDescent="0.25">
      <c r="B58" s="58" t="s">
        <v>12</v>
      </c>
      <c r="C58" s="52">
        <v>0.59053727341757856</v>
      </c>
    </row>
    <row r="59" spans="2:3" x14ac:dyDescent="0.25">
      <c r="B59" s="58" t="s">
        <v>11</v>
      </c>
      <c r="C59" s="52">
        <v>0.56709729181669644</v>
      </c>
    </row>
    <row r="60" spans="2:3" x14ac:dyDescent="0.25">
      <c r="B60" s="58" t="s">
        <v>3</v>
      </c>
      <c r="C60" s="52">
        <v>0.50782673928104072</v>
      </c>
    </row>
    <row r="61" spans="2:3" x14ac:dyDescent="0.25">
      <c r="B61" s="58" t="s">
        <v>10</v>
      </c>
      <c r="C61" s="52">
        <v>0.36427003644529937</v>
      </c>
    </row>
    <row r="62" spans="2:3" x14ac:dyDescent="0.25">
      <c r="B62" s="58" t="s">
        <v>9</v>
      </c>
      <c r="C62" s="52">
        <v>0.35074653398470973</v>
      </c>
    </row>
    <row r="63" spans="2:3" x14ac:dyDescent="0.25">
      <c r="B63" s="58" t="s">
        <v>5</v>
      </c>
      <c r="C63" s="52">
        <v>-0.2036224701816976</v>
      </c>
    </row>
  </sheetData>
  <conditionalFormatting sqref="C37:C6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7:D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61AB-4401-40B2-8B0B-90613ABA0D3A}">
  <dimension ref="A14:O45"/>
  <sheetViews>
    <sheetView showGridLines="0" tabSelected="1" workbookViewId="0">
      <selection activeCell="R20" sqref="R20"/>
    </sheetView>
  </sheetViews>
  <sheetFormatPr defaultRowHeight="15" x14ac:dyDescent="0.25"/>
  <sheetData>
    <row r="14" spans="1:13" ht="18.75" x14ac:dyDescent="0.3">
      <c r="A14" t="s">
        <v>65</v>
      </c>
      <c r="M14" t="s">
        <v>77</v>
      </c>
    </row>
    <row r="15" spans="1:13" x14ac:dyDescent="0.25">
      <c r="A15" t="s">
        <v>66</v>
      </c>
    </row>
    <row r="18" spans="1:15" x14ac:dyDescent="0.25">
      <c r="L18" s="59" t="s">
        <v>98</v>
      </c>
      <c r="M18" s="59" t="s">
        <v>99</v>
      </c>
    </row>
    <row r="19" spans="1:15" x14ac:dyDescent="0.25">
      <c r="L19" s="58" t="s">
        <v>4</v>
      </c>
      <c r="M19" s="52">
        <v>0.84191192019168415</v>
      </c>
    </row>
    <row r="20" spans="1:15" x14ac:dyDescent="0.25">
      <c r="L20" s="58" t="s">
        <v>7</v>
      </c>
      <c r="M20" s="52">
        <v>0.82620259475660895</v>
      </c>
    </row>
    <row r="21" spans="1:15" x14ac:dyDescent="0.25">
      <c r="L21" s="58" t="s">
        <v>23</v>
      </c>
      <c r="M21" s="52">
        <v>0.81520166268737893</v>
      </c>
    </row>
    <row r="22" spans="1:15" x14ac:dyDescent="0.25">
      <c r="L22" s="58" t="s">
        <v>24</v>
      </c>
      <c r="M22" s="52">
        <v>0.78563045522865071</v>
      </c>
    </row>
    <row r="23" spans="1:15" x14ac:dyDescent="0.25">
      <c r="L23" s="58" t="s">
        <v>26</v>
      </c>
      <c r="M23" s="52">
        <v>0.76560004102965407</v>
      </c>
    </row>
    <row r="24" spans="1:15" x14ac:dyDescent="0.25">
      <c r="L24" s="58" t="s">
        <v>13</v>
      </c>
      <c r="M24" s="52">
        <v>0.75260403886846317</v>
      </c>
      <c r="O24" t="s">
        <v>106</v>
      </c>
    </row>
    <row r="25" spans="1:15" x14ac:dyDescent="0.25">
      <c r="L25" s="58" t="s">
        <v>17</v>
      </c>
      <c r="M25" s="52">
        <v>0.74869562674882939</v>
      </c>
    </row>
    <row r="26" spans="1:15" x14ac:dyDescent="0.25">
      <c r="L26" s="58" t="s">
        <v>27</v>
      </c>
      <c r="M26" s="52">
        <v>0.74098995346190499</v>
      </c>
    </row>
    <row r="27" spans="1:15" x14ac:dyDescent="0.25">
      <c r="L27" s="58" t="s">
        <v>18</v>
      </c>
      <c r="M27" s="52">
        <v>0.7393580301817575</v>
      </c>
    </row>
    <row r="28" spans="1:15" x14ac:dyDescent="0.25">
      <c r="A28" s="1" t="s">
        <v>84</v>
      </c>
      <c r="B28" s="1"/>
      <c r="C28" s="1"/>
      <c r="L28" s="58" t="s">
        <v>22</v>
      </c>
      <c r="M28" s="52">
        <v>0.73881995293995806</v>
      </c>
    </row>
    <row r="29" spans="1:15" x14ac:dyDescent="0.25">
      <c r="L29" s="58" t="s">
        <v>16</v>
      </c>
      <c r="M29" s="52">
        <v>0.73718735666666269</v>
      </c>
    </row>
    <row r="30" spans="1:15" x14ac:dyDescent="0.25">
      <c r="L30" s="58" t="s">
        <v>20</v>
      </c>
      <c r="M30" s="52">
        <v>0.73695384515053841</v>
      </c>
    </row>
    <row r="31" spans="1:15" x14ac:dyDescent="0.25">
      <c r="L31" s="58" t="s">
        <v>94</v>
      </c>
      <c r="M31" s="52">
        <v>0.73372084561697026</v>
      </c>
    </row>
    <row r="32" spans="1:15" x14ac:dyDescent="0.25">
      <c r="L32" s="58" t="s">
        <v>21</v>
      </c>
      <c r="M32" s="52">
        <v>0.73037374022525769</v>
      </c>
    </row>
    <row r="33" spans="12:13" x14ac:dyDescent="0.25">
      <c r="L33" s="58" t="s">
        <v>75</v>
      </c>
      <c r="M33" s="52">
        <v>0.71816936627720163</v>
      </c>
    </row>
    <row r="34" spans="12:13" x14ac:dyDescent="0.25">
      <c r="L34" s="58" t="s">
        <v>14</v>
      </c>
      <c r="M34" s="52">
        <v>0.71771593094288821</v>
      </c>
    </row>
    <row r="35" spans="12:13" x14ac:dyDescent="0.25">
      <c r="L35" s="58" t="s">
        <v>19</v>
      </c>
      <c r="M35" s="52">
        <v>0.69787802521406628</v>
      </c>
    </row>
    <row r="36" spans="12:13" x14ac:dyDescent="0.25">
      <c r="L36" s="58" t="s">
        <v>15</v>
      </c>
      <c r="M36" s="52">
        <v>0.68867161411370348</v>
      </c>
    </row>
    <row r="37" spans="12:13" x14ac:dyDescent="0.25">
      <c r="L37" s="58" t="s">
        <v>25</v>
      </c>
      <c r="M37" s="52">
        <v>0.65313864265722477</v>
      </c>
    </row>
    <row r="38" spans="12:13" x14ac:dyDescent="0.25">
      <c r="L38" s="58" t="s">
        <v>6</v>
      </c>
      <c r="M38" s="52">
        <v>0.63436438765675618</v>
      </c>
    </row>
    <row r="39" spans="12:13" x14ac:dyDescent="0.25">
      <c r="L39" s="58" t="s">
        <v>8</v>
      </c>
      <c r="M39" s="52">
        <v>0.59139323105135344</v>
      </c>
    </row>
    <row r="40" spans="12:13" x14ac:dyDescent="0.25">
      <c r="L40" s="58" t="s">
        <v>12</v>
      </c>
      <c r="M40" s="52">
        <v>0.59053727341757856</v>
      </c>
    </row>
    <row r="41" spans="12:13" x14ac:dyDescent="0.25">
      <c r="L41" s="58" t="s">
        <v>11</v>
      </c>
      <c r="M41" s="52">
        <v>0.56709729181669644</v>
      </c>
    </row>
    <row r="42" spans="12:13" x14ac:dyDescent="0.25">
      <c r="L42" s="58" t="s">
        <v>3</v>
      </c>
      <c r="M42" s="52">
        <v>0.50782673928104072</v>
      </c>
    </row>
    <row r="43" spans="12:13" x14ac:dyDescent="0.25">
      <c r="L43" s="58" t="s">
        <v>10</v>
      </c>
      <c r="M43" s="52">
        <v>0.36427003644529937</v>
      </c>
    </row>
    <row r="44" spans="12:13" x14ac:dyDescent="0.25">
      <c r="L44" s="58" t="s">
        <v>9</v>
      </c>
      <c r="M44" s="52">
        <v>0.35074653398470973</v>
      </c>
    </row>
    <row r="45" spans="12:13" x14ac:dyDescent="0.25">
      <c r="L45" s="58" t="s">
        <v>5</v>
      </c>
      <c r="M45" s="52">
        <v>-0.2036224701816976</v>
      </c>
    </row>
  </sheetData>
  <conditionalFormatting sqref="M19:M4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All_India_Index_Upto_April23 (1</vt:lpstr>
      <vt:lpstr>complete data</vt:lpstr>
      <vt:lpstr>Categories table</vt:lpstr>
      <vt:lpstr>Analysis 1</vt:lpstr>
      <vt:lpstr>Analysis 2</vt:lpstr>
      <vt:lpstr>Analysis 3</vt:lpstr>
      <vt:lpstr>Analysis 4</vt:lpstr>
      <vt:lpstr>Analysis 5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2026-06-18T11:29:12Z</dcterms:created>
  <dcterms:modified xsi:type="dcterms:W3CDTF">2026-08-07T02:07:35Z</dcterms:modified>
</cp:coreProperties>
</file>